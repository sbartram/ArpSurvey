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scopes" sheetId="1" r:id="rId4"/>
    <sheet state="visible" name="Imaging Rates" sheetId="2" r:id="rId5"/>
  </sheets>
  <definedNames/>
  <calcPr/>
</workbook>
</file>

<file path=xl/sharedStrings.xml><?xml version="1.0" encoding="utf-8"?>
<sst xmlns="http://schemas.openxmlformats.org/spreadsheetml/2006/main" count="487" uniqueCount="266">
  <si>
    <t>Telescope</t>
  </si>
  <si>
    <t>Platform</t>
  </si>
  <si>
    <t>Aperture (in)</t>
  </si>
  <si>
    <t>Aperature (mm)</t>
  </si>
  <si>
    <t>Focal Length (mm)</t>
  </si>
  <si>
    <t>F-Ratio</t>
  </si>
  <si>
    <t>Optical Tube Assembly</t>
  </si>
  <si>
    <t>Optical Design</t>
  </si>
  <si>
    <t>Camera</t>
  </si>
  <si>
    <t>Sensor Type</t>
  </si>
  <si>
    <t>CMOS Sensor Model</t>
  </si>
  <si>
    <t>Sensor Size / Format (mm)</t>
  </si>
  <si>
    <r>
      <rPr>
        <rFont val="Arial"/>
        <b/>
        <color rgb="FF000000"/>
        <sz val="12.0"/>
      </rPr>
      <t xml:space="preserve">Camera Angle
</t>
    </r>
    <r>
      <rPr>
        <rFont val="Arial"/>
        <b/>
        <color rgb="FF000000"/>
        <sz val="10.0"/>
      </rPr>
      <t>("Up" = Deg. East of N)</t>
    </r>
  </si>
  <si>
    <t>FOV X (arcmins)</t>
  </si>
  <si>
    <t>FOV Y (arcmins)</t>
  </si>
  <si>
    <t>Pixel Size (µm)</t>
  </si>
  <si>
    <t>Resolution (arcsec / pixel)</t>
  </si>
  <si>
    <t>Sensor Megapixels</t>
  </si>
  <si>
    <t>Array X</t>
  </si>
  <si>
    <t>Array Y</t>
  </si>
  <si>
    <t>Peak QE</t>
  </si>
  <si>
    <t>Full Well</t>
  </si>
  <si>
    <t>N/ABG</t>
  </si>
  <si>
    <t>Recommended Max Exposure (seconds)</t>
  </si>
  <si>
    <t>Guiding</t>
  </si>
  <si>
    <t>Mount</t>
  </si>
  <si>
    <t>Filters</t>
  </si>
  <si>
    <t>Notes</t>
  </si>
  <si>
    <t>Additional System Specifications
(e.g. horizon limits, special notes)</t>
  </si>
  <si>
    <r>
      <rPr>
        <rFont val="Arial"/>
        <b/>
        <color rgb="FF0000FF"/>
        <sz val="16.0"/>
        <u/>
      </rPr>
      <t>Utah Desert Remote Observatory</t>
    </r>
    <r>
      <rPr>
        <rFont val="Arial"/>
        <sz val="16.0"/>
      </rPr>
      <t xml:space="preserve"> </t>
    </r>
    <r>
      <rPr>
        <rFont val="Arial"/>
        <sz val="12.0"/>
      </rPr>
      <t>(MPC U94)</t>
    </r>
  </si>
  <si>
    <t>Note: Sensors generally have 16-bit ADCs unless other values are provided</t>
  </si>
  <si>
    <t>T2</t>
  </si>
  <si>
    <t>One Shot Color</t>
  </si>
  <si>
    <t>f/7.3</t>
  </si>
  <si>
    <t>Takahashi TOA-150</t>
  </si>
  <si>
    <t>Apochromatic Refractor</t>
  </si>
  <si>
    <t>QHY268C</t>
  </si>
  <si>
    <t>Color CMOS
(RGGB Bayer)</t>
  </si>
  <si>
    <t>Sony IMX571</t>
  </si>
  <si>
    <t>23.5 x 15.7
(APS-C)</t>
  </si>
  <si>
    <t>178.683º</t>
  </si>
  <si>
    <t>51Ke</t>
  </si>
  <si>
    <t>—</t>
  </si>
  <si>
    <t>MOAG with Loadstar SX2</t>
  </si>
  <si>
    <t>Paramount GTS</t>
  </si>
  <si>
    <t>None</t>
  </si>
  <si>
    <t>Large (26 MP, 16-bit) FITS files</t>
  </si>
  <si>
    <t>Telescope System Information and Specs</t>
  </si>
  <si>
    <t>T5</t>
  </si>
  <si>
    <t>Medium Deep Space</t>
  </si>
  <si>
    <t>f/3.4</t>
  </si>
  <si>
    <t>Takahashi Epsilon 250</t>
  </si>
  <si>
    <t>Hyperbolic Flat-Field</t>
  </si>
  <si>
    <t>SBIG ST-10XME</t>
  </si>
  <si>
    <t>CCD</t>
  </si>
  <si>
    <t>14.9 x 10.0</t>
  </si>
  <si>
    <t>177º</t>
  </si>
  <si>
    <t>100Ke</t>
  </si>
  <si>
    <t>NABG</t>
  </si>
  <si>
    <t>External Guiding</t>
  </si>
  <si>
    <t>Paramount PME</t>
  </si>
  <si>
    <t>Red Green Blue, Ha, SII, OIII, Clear and Johnson's Cousin's Photometric B,V, and I filters.</t>
  </si>
  <si>
    <t>Non Anti Bloom Gate (NABG) CCD. Bright stars will bloom or bleed in long exposures. Keep your exposures short if very bright stars are in your target FoV.</t>
  </si>
  <si>
    <t>T11</t>
  </si>
  <si>
    <t>Deep Space</t>
  </si>
  <si>
    <t>2280
(0.66 reducer)</t>
  </si>
  <si>
    <t>f/4.5</t>
  </si>
  <si>
    <t>Planewave CDK20</t>
  </si>
  <si>
    <t>Corrected Dall-Kirkham</t>
  </si>
  <si>
    <t>FLI ProLine PL11002M</t>
  </si>
  <si>
    <t>36 x 24
(Full Format)</t>
  </si>
  <si>
    <t>186.9º</t>
  </si>
  <si>
    <t>60Ke</t>
  </si>
  <si>
    <t>ABG</t>
  </si>
  <si>
    <t>Active Guiding Disabled</t>
  </si>
  <si>
    <t>Planewave Ascension 200HR</t>
  </si>
  <si>
    <t>AstroDon - Luminance, Red, Green, Blue. 3nm Ha3_50R, Sii3_50R, Oiii_50R. U, B, V, R, I</t>
  </si>
  <si>
    <t>Optics more sensitive to stray light gradients (e.g. during full moon)</t>
  </si>
  <si>
    <t>T14</t>
  </si>
  <si>
    <t>Wide Field</t>
  </si>
  <si>
    <t>f/5.0</t>
  </si>
  <si>
    <t>Takahashi FSQ Fluorite</t>
  </si>
  <si>
    <t>Petzval Apochromatic Refractor</t>
  </si>
  <si>
    <t>SBIG STX-16803</t>
  </si>
  <si>
    <t>36.8 x 36.8</t>
  </si>
  <si>
    <t>90º</t>
  </si>
  <si>
    <t>Unguided</t>
  </si>
  <si>
    <t>Paramount ME</t>
  </si>
  <si>
    <t>LRGB, Ha (5nm), SII(5nm), OIII(5nm), V Filters</t>
  </si>
  <si>
    <t>Dithering recommended</t>
  </si>
  <si>
    <t>T20</t>
  </si>
  <si>
    <t>Takahashi FSQ-ED</t>
  </si>
  <si>
    <t>ZWO ASI2400C</t>
  </si>
  <si>
    <t>Color CMOS
(14-bit ADC)
(RGGB Bayer)</t>
  </si>
  <si>
    <t>Sony IMX410</t>
  </si>
  <si>
    <t>358.4º</t>
  </si>
  <si>
    <t>&gt;80%</t>
  </si>
  <si>
    <t>50Ke</t>
  </si>
  <si>
    <t>Optolong Lpro, Optolong LUltimate (Ha/OIII 3nm dual band), Astrodon Ha (3nm), SII (3nm) &amp; OIII (5nm)</t>
  </si>
  <si>
    <t>FoV Rotated 90° relative to T14 for different framing opportunities.</t>
  </si>
  <si>
    <t>T21</t>
  </si>
  <si>
    <t>1940
(0.66 reducer)</t>
  </si>
  <si>
    <t>Planewave CDK17</t>
  </si>
  <si>
    <t>FLI-PL6303E</t>
  </si>
  <si>
    <t>27.6 x 18.4</t>
  </si>
  <si>
    <t>359º</t>
  </si>
  <si>
    <t>Astrodon LRGB 50mm unmounted, Astrodon Ha, SII, OIII, 5nm, 50 mm unmounted, Astrodon UBVRI John/Cousins</t>
  </si>
  <si>
    <t>Photometry and Imaging system. Sensitive NABG CCD - susceptible to blooming artifacts from bright subjects</t>
  </si>
  <si>
    <t>T25</t>
  </si>
  <si>
    <t>f/6.8</t>
  </si>
  <si>
    <t>Player One Zeus 455M PRO</t>
  </si>
  <si>
    <t>Mono CMOS</t>
  </si>
  <si>
    <t>Sony IMX455</t>
  </si>
  <si>
    <t>251.9º</t>
  </si>
  <si>
    <t>71.6Ke</t>
  </si>
  <si>
    <t>Planewave L-500</t>
  </si>
  <si>
    <t>Astrodon LRGB Gen2 I-Series Tru-Balance filters, Astrodon 3nm SII,Ha,OIII</t>
  </si>
  <si>
    <t>Produces very large files</t>
  </si>
  <si>
    <t>T26</t>
  </si>
  <si>
    <t>f/3.0</t>
  </si>
  <si>
    <t>Planewave Delta Rho 500</t>
  </si>
  <si>
    <t>Advanced Corrected Cassegrain Focus</t>
  </si>
  <si>
    <t>ASI6200MM Pro (mono)</t>
  </si>
  <si>
    <t>181º</t>
  </si>
  <si>
    <t>7.52 (Bin2)</t>
  </si>
  <si>
    <t>51.4Ke</t>
  </si>
  <si>
    <t>Planewave L-550 on Equatorial Wedge</t>
  </si>
  <si>
    <r>
      <rPr>
        <rFont val="Arial"/>
        <color rgb="FF000000"/>
        <sz val="12.0"/>
      </rPr>
      <t xml:space="preserve">Chroma Filters:
Wideband: </t>
    </r>
    <r>
      <rPr>
        <rFont val="Arial"/>
        <color rgb="FF1155CC"/>
        <sz val="12.0"/>
        <u/>
      </rPr>
      <t>Luminance, Red, Green &amp; Blue</t>
    </r>
    <r>
      <rPr>
        <rFont val="Arial"/>
        <color rgb="FF000000"/>
        <sz val="12.0"/>
      </rPr>
      <t xml:space="preserve">
Narrowband: </t>
    </r>
    <r>
      <rPr>
        <rFont val="Arial"/>
        <color rgb="FF1155CC"/>
        <sz val="12.0"/>
        <u/>
      </rPr>
      <t>SII, Ha &amp; OIII with a 3nm optimise passband</t>
    </r>
  </si>
  <si>
    <r>
      <rPr>
        <rFont val="Arial"/>
        <b/>
        <color rgb="FF000000"/>
        <sz val="12.0"/>
      </rPr>
      <t xml:space="preserve">Bin2 only due to current software limitations
</t>
    </r>
    <r>
      <rPr>
        <rFont val="Arial"/>
        <b val="0"/>
        <color rgb="FF000000"/>
        <sz val="12.0"/>
      </rPr>
      <t>Recommended Exposures: LRGB: 30s-180s.
Narrowband: 180s-300s. 900s Available</t>
    </r>
  </si>
  <si>
    <t>T68</t>
  </si>
  <si>
    <t>One Shot Color
(30 min free / day)</t>
  </si>
  <si>
    <t>f/2.2</t>
  </si>
  <si>
    <t>Celestron RASA 11"</t>
  </si>
  <si>
    <t>Rowe Ackerman Schmidt Astrograph</t>
  </si>
  <si>
    <t>ZWO ASI2600 Color</t>
  </si>
  <si>
    <t>23.6 x 15.6
(APS-C)</t>
  </si>
  <si>
    <t>277º</t>
  </si>
  <si>
    <t>&gt;50%</t>
  </si>
  <si>
    <t>Via Mount</t>
  </si>
  <si>
    <t>Paramount ME II</t>
  </si>
  <si>
    <r>
      <t>Full-Time Free Telescope System</t>
    </r>
    <r>
      <rPr>
        <rFont val="Arial"/>
        <b/>
        <strike/>
        <color rgb="FF000000"/>
        <sz val="12.0"/>
      </rPr>
      <t xml:space="preserve">
</t>
    </r>
    <r>
      <rPr>
        <rFont val="Arial"/>
        <b val="0"/>
        <strike val="0"/>
        <color rgb="FF000000"/>
        <sz val="12.0"/>
      </rPr>
      <t>Large (26 MP, 16-bit) FITS files</t>
    </r>
  </si>
  <si>
    <r>
      <rPr>
        <rFont val="Arial"/>
        <b/>
        <color rgb="FF0000FF"/>
        <sz val="16.0"/>
        <u/>
      </rPr>
      <t>Sierra Remote Observatory</t>
    </r>
    <r>
      <rPr>
        <rFont val="Arial"/>
        <b/>
        <sz val="16.0"/>
      </rPr>
      <t xml:space="preserve"> </t>
    </r>
    <r>
      <rPr>
        <rFont val="Arial"/>
        <b val="0"/>
        <sz val="12.0"/>
      </rPr>
      <t>(MPC U69)</t>
    </r>
  </si>
  <si>
    <t>T24</t>
  </si>
  <si>
    <t>f/6.5</t>
  </si>
  <si>
    <t>Planewave CDK24</t>
  </si>
  <si>
    <t xml:space="preserve">Corrected Dall-Kirkham </t>
  </si>
  <si>
    <t>36 x 24</t>
  </si>
  <si>
    <t>90.7º</t>
  </si>
  <si>
    <t>0.395"</t>
  </si>
  <si>
    <t>External Guiding (300s+)</t>
  </si>
  <si>
    <t>Astrodon LRGB2-E50S
Astrodon HA3_50S, OIII3_50S, SII3_50S.Astrodon V, I (V*-50S, Ic*-50S)</t>
  </si>
  <si>
    <r>
      <rPr>
        <rFont val="Arial"/>
        <color rgb="FF000000"/>
        <sz val="12.0"/>
      </rPr>
      <t xml:space="preserve">Best results on Bin1. </t>
    </r>
    <r>
      <rPr>
        <rFont val="Arial"/>
        <b/>
        <color rgb="FF000000"/>
        <sz val="12.0"/>
      </rPr>
      <t>Dithering highly recommended</t>
    </r>
    <r>
      <rPr>
        <rFont val="Arial"/>
        <color rgb="FF000000"/>
        <sz val="12.0"/>
      </rPr>
      <t>. Uses RBI Flush to prevent ghosting. Best to use 60, 120, 180, 300, 600 and 900s exposures to match with calibraiton data.</t>
    </r>
  </si>
  <si>
    <r>
      <rPr>
        <rFont val="Arial"/>
        <b/>
        <color rgb="FF1155CC"/>
        <sz val="16.0"/>
        <u/>
      </rPr>
      <t>Siding Springs Observatory, Australia</t>
    </r>
    <r>
      <rPr>
        <rFont val="Arial"/>
        <b/>
        <sz val="16.0"/>
      </rPr>
      <t xml:space="preserve"> </t>
    </r>
    <r>
      <rPr>
        <rFont val="Arial"/>
        <b val="0"/>
        <sz val="12.0"/>
      </rPr>
      <t>(MPC Q62)</t>
    </r>
  </si>
  <si>
    <t>T8</t>
  </si>
  <si>
    <t>Takahashi FSQ ED</t>
  </si>
  <si>
    <t>FLI Microline 16803</t>
  </si>
  <si>
    <t>358º</t>
  </si>
  <si>
    <t xml:space="preserve">External </t>
  </si>
  <si>
    <t>AstroDon Series 2
Luminance, Red, Green, Blue, EXO, Ha, SII, OIII, NIR Luminance</t>
  </si>
  <si>
    <t xml:space="preserve">Northern view is restricted by observatory roof. N Horizon limit is 75°. Dithering is recommended because T8's CCD sometimes produces dark columns. </t>
  </si>
  <si>
    <t>T17</t>
  </si>
  <si>
    <t>Deep Field Astrophotography</t>
  </si>
  <si>
    <t>84.2º</t>
  </si>
  <si>
    <t>91% (475nm)</t>
  </si>
  <si>
    <t>Astrodon: Luminance, Clear 
Astrodon: Red-E. Green-E. Blue-E
Astrodon: Ha 5nm, 5nm OIII, 5nm, SII</t>
  </si>
  <si>
    <r>
      <rPr>
        <rFont val="Arial"/>
        <b/>
        <color rgb="FF000000"/>
        <sz val="12.0"/>
      </rPr>
      <t xml:space="preserve">NEW CMOS Camera for astrophotography
</t>
    </r>
    <r>
      <rPr>
        <rFont val="Arial"/>
        <b val="0"/>
        <color rgb="FF000000"/>
        <sz val="12.0"/>
      </rPr>
      <t>Bin2 only due to software limitations</t>
    </r>
  </si>
  <si>
    <t>T30</t>
  </si>
  <si>
    <t>2262
(0.66 reducer)</t>
  </si>
  <si>
    <t>f/4.4</t>
  </si>
  <si>
    <t>270º</t>
  </si>
  <si>
    <t>AstroDon Tru-Balance Gen 2 E series Luminance, Red, Green, Blue, 5nm Ha, 5nm SII, 5nm OIII, and AstroDon Johnson/Cousins UvBVRcIc</t>
  </si>
  <si>
    <t>Very sensitive NABG CCD - susceptible to blooming artifacts from bright subjects</t>
  </si>
  <si>
    <t>T32</t>
  </si>
  <si>
    <t>Wide Deep Field</t>
  </si>
  <si>
    <t>Astrodon E-Series Luminance Red, Green, Blue
Astrodon 5nm Ha, SII, OIII
Astrodon Johnson/Couisins V, Ic</t>
  </si>
  <si>
    <r>
      <rPr>
        <rFont val="Arial"/>
        <b/>
        <color rgb="FF000000"/>
        <sz val="12.0"/>
      </rPr>
      <t xml:space="preserve">NEW CMOS Camera for astrophotography
</t>
    </r>
    <r>
      <rPr>
        <rFont val="Arial"/>
        <b val="0"/>
        <color rgb="FF000000"/>
        <sz val="12.0"/>
      </rPr>
      <t>Bin2 only due to software limitations</t>
    </r>
  </si>
  <si>
    <t>T33</t>
  </si>
  <si>
    <t>Narrow Deep Field
(30 min free / day)</t>
  </si>
  <si>
    <t>f/9.0</t>
  </si>
  <si>
    <t>Star Instruments 12.5" RCOS</t>
  </si>
  <si>
    <t>Ritchey-Chrétien - Closed Carbon Tube</t>
  </si>
  <si>
    <t>Apogee Alta U16</t>
  </si>
  <si>
    <t xml:space="preserve">Astrodon Series II: Luminance, Red, Green, Blue
Astrodon Ha (5nm), SII, OIII (3nm)
</t>
  </si>
  <si>
    <r>
      <rPr>
        <rFont val="Arial"/>
        <b/>
        <color rgb="FF333333"/>
        <sz val="12.0"/>
      </rPr>
      <t xml:space="preserve">Full-Time Free Telescope System
</t>
    </r>
    <r>
      <rPr>
        <rFont val="Arial"/>
        <b val="0"/>
        <color rgb="FF333333"/>
        <sz val="12.0"/>
      </rPr>
      <t>North Horizon limit is 45°</t>
    </r>
    <r>
      <rPr>
        <rFont val="Arial"/>
        <b/>
        <color rgb="FF333333"/>
        <sz val="12.0"/>
      </rPr>
      <t xml:space="preserve">
</t>
    </r>
    <r>
      <rPr>
        <rFont val="Arial"/>
        <b val="0"/>
        <color rgb="FF333333"/>
        <sz val="12.0"/>
      </rPr>
      <t xml:space="preserve">Rec. exposures: LRGB at 300s. Narrowband at 300s Bin2, or </t>
    </r>
    <r>
      <rPr>
        <rFont val="Arial"/>
        <b/>
        <color rgb="FF333333"/>
        <sz val="12.0"/>
      </rPr>
      <t xml:space="preserve">600s Bin1 on calm nights. </t>
    </r>
  </si>
  <si>
    <t>T59</t>
  </si>
  <si>
    <t>FLI Proline 16803</t>
  </si>
  <si>
    <t>&gt; 100X Saturation Exposure</t>
  </si>
  <si>
    <t>Astrodon E-Series Luminance Red, Green, Blue
Astrodon 5nm Ha, SII, OIII
Astrodon Johnson/Couisins, IcZ</t>
  </si>
  <si>
    <t>Capable of very long (15 min) exposures</t>
  </si>
  <si>
    <r>
      <rPr>
        <rFont val="Arial"/>
        <b/>
        <color rgb="FF0000FF"/>
        <sz val="16.0"/>
        <u/>
      </rPr>
      <t>Deep Sky Chile</t>
    </r>
    <r>
      <rPr>
        <rFont val="Arial"/>
        <b/>
        <color rgb="FF000000"/>
        <sz val="16.0"/>
        <u/>
      </rPr>
      <t xml:space="preserve"> </t>
    </r>
    <r>
      <rPr>
        <rFont val="Arial"/>
        <b val="0"/>
        <color rgb="FF000000"/>
        <sz val="12.0"/>
        <u/>
      </rPr>
      <t>(MPC X07)</t>
    </r>
  </si>
  <si>
    <t>T70</t>
  </si>
  <si>
    <t>Super Wide Field</t>
  </si>
  <si>
    <t>f/3.5</t>
  </si>
  <si>
    <t>Samyang 135 mm @ f/3.5</t>
  </si>
  <si>
    <t>Camera Lens</t>
  </si>
  <si>
    <t>ASI2600MM Pro (mono)</t>
  </si>
  <si>
    <t>314º</t>
  </si>
  <si>
    <t>ZWO 30 F/4 guidescope with Loadstar SX2</t>
  </si>
  <si>
    <t>Astrodon Gen 2 E-Series LRGB, Ha, OIII, SII</t>
  </si>
  <si>
    <t xml:space="preserve">Note: Camera lens. Some residual coma occurs in the corners, and bright stars develop halos. This is normal and expected on this system. </t>
  </si>
  <si>
    <t>T71</t>
  </si>
  <si>
    <t>Wide Field Astrophotography</t>
  </si>
  <si>
    <t>f/2.8</t>
  </si>
  <si>
    <t>Takahashi Epsilon 180ED</t>
  </si>
  <si>
    <t>Hyperbolic Corrected Newtonian Astrograph</t>
  </si>
  <si>
    <t>342.5º</t>
  </si>
  <si>
    <t>QHY miniguidescope f4.3 with Loadstar Pro</t>
  </si>
  <si>
    <t>Paramount MyT</t>
  </si>
  <si>
    <t>Astrodon Gen 2 I-Series LRGB, Ha (5nm), OIII (5nm), SII (5nm)</t>
  </si>
  <si>
    <t>Electronic shutter. No user dark frames can be taken. Calibrated data available for 10, 30, 60, 120 180, 300, 600s.
Generates very large (26 MP, 101 MiB) FITS files</t>
  </si>
  <si>
    <t>T72</t>
  </si>
  <si>
    <t>F/6.8</t>
  </si>
  <si>
    <t>FLI ML-16200</t>
  </si>
  <si>
    <t>27 x 21.6</t>
  </si>
  <si>
    <t>176º</t>
  </si>
  <si>
    <t>0.359"</t>
  </si>
  <si>
    <t>39Ke</t>
  </si>
  <si>
    <t>PlaneWave L-500</t>
  </si>
  <si>
    <t>L,R,G,B,SII,Ha,OIII,U,V,B,R,I filters</t>
  </si>
  <si>
    <t>Raw calibration frames can be found at data.itelescope.net. (Bias Bin1 &amp; Bin2 and Darks 900s Bin1 &amp; 2 are scaled with high precision for photometry calibrated image data from 0 to 900 seconds).</t>
  </si>
  <si>
    <t>T73</t>
  </si>
  <si>
    <t>f/7.2</t>
  </si>
  <si>
    <t>Planewave CDK14</t>
  </si>
  <si>
    <t>179.6º</t>
  </si>
  <si>
    <t>WO Guide Star 61 f5.9 guide scope with Starlight Xpress Ultrastar Pro (mono) guide camera</t>
  </si>
  <si>
    <t>Paramount MEII</t>
  </si>
  <si>
    <t>Chroma LRGB, Chroma 3nm Ha, OIII, SII</t>
  </si>
  <si>
    <t>(the ASI2600MM has an extremely low dark current making darks virtually redundant)</t>
  </si>
  <si>
    <t>T74</t>
  </si>
  <si>
    <t>T75</t>
  </si>
  <si>
    <t>f/3.8</t>
  </si>
  <si>
    <t>ASA N250</t>
  </si>
  <si>
    <t>Newtownian Astrograph</t>
  </si>
  <si>
    <t>88.3º</t>
  </si>
  <si>
    <t>ZWO 30 F/4 guide scope with ASI290MM mini</t>
  </si>
  <si>
    <t>Bin2 only due to current software limitations.</t>
  </si>
  <si>
    <r>
      <rPr>
        <rFont val="Arial"/>
        <b/>
        <color rgb="FF0000FF"/>
        <sz val="16.0"/>
        <u/>
      </rPr>
      <t>AstroCamp Observatory, Spain</t>
    </r>
    <r>
      <rPr>
        <rFont val="Arial"/>
        <b/>
        <sz val="16.0"/>
      </rPr>
      <t xml:space="preserve"> </t>
    </r>
    <r>
      <rPr>
        <rFont val="Arial"/>
        <b val="0"/>
        <sz val="12.0"/>
      </rPr>
      <t>(MPC I89)</t>
    </r>
  </si>
  <si>
    <t>T18</t>
  </si>
  <si>
    <t>f/5.3</t>
  </si>
  <si>
    <t>Planewave CDK12</t>
  </si>
  <si>
    <t>QHY600M-PH-US Mono</t>
  </si>
  <si>
    <t>150º</t>
  </si>
  <si>
    <t>&gt; 38Ke</t>
  </si>
  <si>
    <t>External via Lodestar SX and 300mm guidescope</t>
  </si>
  <si>
    <t>Astrodon Series E LRGB. Astrodon 5nm Ha, SII, OIII. Photometric V (Custom Scientific Bessell) and Ic (Astrodon John/Cousins)</t>
  </si>
  <si>
    <r>
      <rPr>
        <rFont val="Arial"/>
        <b/>
        <color rgb="FF333333"/>
        <sz val="12.0"/>
      </rPr>
      <t xml:space="preserve">Bin2 only due to current software limitations.
</t>
    </r>
    <r>
      <rPr>
        <rFont val="Arial"/>
        <b val="0"/>
        <color rgb="FF333333"/>
        <sz val="12.0"/>
      </rPr>
      <t>SONY Full Frame BSI CMOS Sensor IMX455</t>
    </r>
  </si>
  <si>
    <t>Entre Encinas y Estrellas, Spain</t>
  </si>
  <si>
    <t>T80</t>
  </si>
  <si>
    <t>ASI2600MM Pro P25 (mono)</t>
  </si>
  <si>
    <t>268º</t>
  </si>
  <si>
    <t xml:space="preserve">ZWO 30 F/4 guidescope with Loadstar SX2 </t>
  </si>
  <si>
    <t>Note: Camera lens. Some residual coma occurs in the corners</t>
  </si>
  <si>
    <r>
      <t>Disclaimer: This telescope rate list is compiled for your convenience. It is maintained regularly, but may not reflect any changes made after the date in this document's title. 
The most up-to-date rate information will always be</t>
    </r>
    <r>
      <rPr>
        <rFont val="Arial"/>
        <b/>
        <color rgb="FF000000"/>
        <sz val="10.0"/>
      </rPr>
      <t xml:space="preserve"> at https://www.itelescope.net/session-vs-exposure-pricing</t>
    </r>
    <r>
      <rPr>
        <rFont val="Arial"/>
        <b/>
        <color rgb="FF1155CC"/>
        <sz val="10.0"/>
        <u/>
      </rPr>
      <t xml:space="preserve">
</t>
    </r>
    <r>
      <rPr>
        <rFont val="Arial"/>
        <b/>
        <sz val="10.0"/>
      </rPr>
      <t>Please direct all billing questions to support@itelescope.net. Thank you!</t>
    </r>
  </si>
  <si>
    <t>Session Billing Rates</t>
  </si>
  <si>
    <t>Exposure Billing Rates</t>
  </si>
  <si>
    <t>Plan-40</t>
  </si>
  <si>
    <t>Plan-90</t>
  </si>
  <si>
    <t>Plan-160</t>
  </si>
  <si>
    <t>Plan-290</t>
  </si>
  <si>
    <t>Plan-490</t>
  </si>
  <si>
    <t>UDRO</t>
  </si>
  <si>
    <t>SSO</t>
  </si>
  <si>
    <t>SPA</t>
  </si>
  <si>
    <t>SRO</t>
  </si>
  <si>
    <t>DSC</t>
  </si>
  <si>
    <t>EEyE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</si>
</sst>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&quot;$&quot;#,##0"/>
  </numFmts>
  <fonts count="52">
    <font>
      <sz val="10.0"/>
      <color rgb="FF000000"/>
      <name val="Arial"/>
    </font>
    <font>
      <b/>
      <sz val="12.0"/>
      <name val="Arial"/>
    </font>
    <font>
      <b/>
      <sz val="12.0"/>
      <color rgb="FF000000"/>
      <name val="Arial"/>
    </font>
    <font>
      <b/>
      <sz val="10.0"/>
      <name val="Arial"/>
    </font>
    <font>
      <u/>
      <sz val="16.0"/>
      <color rgb="FF0000FF"/>
      <name val="Arial"/>
    </font>
    <font>
      <sz val="16.0"/>
      <name val="Arial"/>
    </font>
    <font>
      <b/>
      <sz val="16.0"/>
      <name val="Arial"/>
    </font>
    <font>
      <b/>
      <sz val="10.0"/>
      <color rgb="FF000000"/>
      <name val="Arial"/>
    </font>
    <font>
      <sz val="12.0"/>
      <color rgb="FF000000"/>
      <name val="Arial"/>
    </font>
    <font>
      <sz val="12.0"/>
      <color rgb="FF333333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49CDB"/>
      <name val="Arial"/>
    </font>
    <font>
      <u/>
      <sz val="12.0"/>
      <color rgb="FF1155CC"/>
      <name val="Arial"/>
    </font>
    <font>
      <sz val="12.0"/>
      <name val="Arial"/>
    </font>
    <font>
      <u/>
      <sz val="12.0"/>
      <color rgb="FF0000FF"/>
      <name val="Arial"/>
    </font>
    <font>
      <b/>
      <sz val="12.0"/>
      <color rgb="FF333333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000000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b/>
      <sz val="14.0"/>
      <name val="Arial"/>
    </font>
    <font>
      <b/>
      <u/>
      <sz val="16.0"/>
      <color rgb="FF0000FF"/>
      <name val="Arial"/>
    </font>
    <font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6.0"/>
      <color rgb="FF0000FF"/>
      <name val="Arial"/>
    </font>
    <font>
      <b/>
      <u/>
      <sz val="16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sz val="12.0"/>
      <color rgb="FF183247"/>
      <name val="Arial"/>
    </font>
    <font>
      <sz val="12.0"/>
      <color rgb="FF183247"/>
      <name val="Arial"/>
    </font>
    <font>
      <sz val="12.0"/>
      <color rgb="FF222222"/>
      <name val="Arial"/>
    </font>
    <font>
      <u/>
      <sz val="12.0"/>
      <color rgb="FF1155CC"/>
      <name val="Arial"/>
    </font>
    <font>
      <sz val="12.0"/>
      <color rgb="FF212529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6.0"/>
      <color rgb="FF0000FF"/>
      <name val="Arial"/>
    </font>
    <font>
      <b/>
      <u/>
      <sz val="10.0"/>
      <color rgb="FF0000FF"/>
      <name val="Arial"/>
    </font>
    <font/>
    <font>
      <b/>
      <u/>
      <sz val="12.0"/>
      <color rgb="FF0000FF"/>
      <name val="Arial"/>
    </font>
    <font>
      <sz val="12.0"/>
      <color rgb="FF0000FF"/>
      <name val="Arial"/>
    </font>
    <font>
      <sz val="12.0"/>
      <color rgb="FF11151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0" numFmtId="0" xfId="0" applyAlignment="1" applyFont="1">
      <alignment horizontal="center" readingOrder="0" shrinkToFit="0" wrapText="0"/>
    </xf>
    <xf borderId="0" fillId="0" fontId="0" numFmtId="9" xfId="0" applyAlignment="1" applyFont="1" applyNumberFormat="1">
      <alignment horizontal="center" readingOrder="0" shrinkToFit="0" wrapText="1"/>
    </xf>
    <xf borderId="0" fillId="0" fontId="7" numFmtId="9" xfId="0" applyAlignment="1" applyFont="1" applyNumberFormat="1">
      <alignment horizontal="center" readingOrder="0" shrinkToFit="0" wrapText="1"/>
    </xf>
    <xf borderId="0" fillId="0" fontId="0" numFmtId="0" xfId="0" applyAlignment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2" fontId="8" numFmtId="1" xfId="0" applyAlignment="1" applyBorder="1" applyFont="1" applyNumberFormat="1">
      <alignment horizontal="center" readingOrder="0" shrinkToFit="0" vertical="center" wrapText="1"/>
    </xf>
    <xf borderId="1" fillId="2" fontId="8" numFmtId="9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8" numFmtId="164" xfId="0" applyAlignment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8" numFmtId="1" xfId="0" applyAlignment="1" applyFont="1" applyNumberFormat="1">
      <alignment horizontal="center" readingOrder="0" shrinkToFit="0" vertical="center" wrapText="1"/>
    </xf>
    <xf borderId="0" fillId="2" fontId="8" numFmtId="9" xfId="0" applyAlignment="1" applyFont="1" applyNumberFormat="1">
      <alignment horizontal="center" readingOrder="0" shrinkToFit="0" vertical="center" wrapText="1"/>
    </xf>
    <xf borderId="0" fillId="2" fontId="13" numFmtId="0" xfId="0" applyAlignment="1" applyFont="1">
      <alignment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left" readingOrder="0" shrinkToFit="0" vertical="center" wrapText="1"/>
    </xf>
    <xf borderId="0" fillId="2" fontId="14" numFmtId="9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8" numFmtId="0" xfId="0" applyAlignment="1" applyFont="1">
      <alignment readingOrder="0" shrinkToFit="0" vertical="center" wrapText="1"/>
    </xf>
    <xf borderId="0" fillId="2" fontId="9" numFmtId="0" xfId="0" applyAlignment="1" applyFont="1">
      <alignment readingOrder="0" shrinkToFit="0" vertical="center" wrapText="1"/>
    </xf>
    <xf borderId="0" fillId="2" fontId="19" numFmtId="0" xfId="0" applyAlignment="1" applyFont="1">
      <alignment horizontal="left" readingOrder="0" shrinkToFit="0" vertical="center" wrapText="1"/>
    </xf>
    <xf borderId="0" fillId="2" fontId="20" numFmtId="0" xfId="0" applyAlignment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left" readingOrder="0" shrinkToFit="0" vertical="center" wrapText="1"/>
    </xf>
    <xf borderId="2" fillId="2" fontId="8" numFmtId="164" xfId="0" applyAlignment="1" applyBorder="1" applyFont="1" applyNumberFormat="1">
      <alignment horizontal="center" readingOrder="0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shrinkToFit="0" vertical="center" wrapText="1"/>
    </xf>
    <xf borderId="2" fillId="2" fontId="21" numFmtId="0" xfId="0" applyAlignment="1" applyBorder="1" applyFont="1">
      <alignment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8" numFmtId="1" xfId="0" applyAlignment="1" applyBorder="1" applyFont="1" applyNumberFormat="1">
      <alignment horizontal="center" shrinkToFit="0" vertical="center" wrapText="1"/>
    </xf>
    <xf borderId="2" fillId="2" fontId="16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left" readingOrder="0" shrinkToFit="0" vertical="center" wrapText="1"/>
    </xf>
    <xf borderId="2" fillId="2" fontId="9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22" numFmtId="0" xfId="0" applyAlignment="1" applyBorder="1" applyFont="1">
      <alignment shrinkToFit="0" vertical="center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3" fillId="3" fontId="14" numFmtId="0" xfId="0" applyAlignment="1" applyBorder="1" applyFont="1">
      <alignment horizontal="left" readingOrder="0" shrinkToFit="0" vertical="center" wrapText="1"/>
    </xf>
    <xf borderId="3" fillId="3" fontId="14" numFmtId="164" xfId="0" applyAlignment="1" applyBorder="1" applyFont="1" applyNumberFormat="1">
      <alignment horizontal="center" readingOrder="0" shrinkToFit="0" vertical="center" wrapText="1"/>
    </xf>
    <xf borderId="3" fillId="3" fontId="14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horizontal="left" readingOrder="0" shrinkToFit="0" vertical="center" wrapText="1"/>
    </xf>
    <xf borderId="3" fillId="3" fontId="9" numFmtId="0" xfId="0" applyAlignment="1" applyBorder="1" applyFont="1">
      <alignment horizontal="left" readingOrder="0" shrinkToFit="0" vertical="center" wrapText="1"/>
    </xf>
    <xf borderId="3" fillId="3" fontId="26" numFmtId="0" xfId="0" applyAlignment="1" applyBorder="1" applyFont="1">
      <alignment horizontal="left" readingOrder="0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3" fontId="2" numFmtId="165" xfId="0" applyAlignment="1" applyBorder="1" applyFont="1" applyNumberFormat="1">
      <alignment horizontal="center" readingOrder="0" shrinkToFit="0" vertical="center" wrapText="1"/>
    </xf>
    <xf borderId="3" fillId="3" fontId="8" numFmtId="164" xfId="0" applyAlignment="1" applyBorder="1" applyFont="1" applyNumberFormat="1">
      <alignment horizontal="center" readingOrder="0" shrinkToFit="0" vertical="center" wrapText="1"/>
    </xf>
    <xf borderId="3" fillId="3" fontId="8" numFmtId="1" xfId="0" applyAlignment="1" applyBorder="1" applyFont="1" applyNumberFormat="1">
      <alignment horizontal="center" readingOrder="0" shrinkToFit="0" vertical="center" wrapText="1"/>
    </xf>
    <xf borderId="3" fillId="3" fontId="14" numFmtId="9" xfId="0" applyAlignment="1" applyBorder="1" applyFont="1" applyNumberFormat="1">
      <alignment horizontal="center" readingOrder="0" shrinkToFit="0" vertical="center" wrapText="1"/>
    </xf>
    <xf borderId="3" fillId="3" fontId="16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horizontal="left" readingOrder="0" shrinkToFit="0" vertical="center" wrapText="1"/>
    </xf>
    <xf borderId="2" fillId="3" fontId="27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1" xfId="0" applyAlignment="1" applyBorder="1" applyFont="1" applyNumberFormat="1">
      <alignment horizontal="center" shrinkToFit="0" vertical="center" wrapText="1"/>
    </xf>
    <xf borderId="1" fillId="2" fontId="8" numFmtId="9" xfId="0" applyAlignment="1" applyBorder="1" applyFont="1" applyNumberFormat="1">
      <alignment horizontal="center" shrinkToFit="0" vertical="center" wrapText="1"/>
    </xf>
    <xf borderId="1" fillId="2" fontId="14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2" fontId="28" numFmtId="0" xfId="0" applyAlignment="1" applyFont="1">
      <alignment horizontal="left" readingOrder="0" shrinkToFit="0" vertical="center" wrapText="1"/>
    </xf>
    <xf borderId="0" fillId="2" fontId="16" numFmtId="0" xfId="0" applyAlignment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left" readingOrder="0" shrinkToFit="0" vertical="center" wrapText="1"/>
    </xf>
    <xf borderId="2" fillId="2" fontId="29" numFmtId="0" xfId="0" applyAlignment="1" applyBorder="1" applyFont="1">
      <alignment horizontal="left" readingOrder="0" shrinkToFit="0" vertical="center" wrapText="1"/>
    </xf>
    <xf borderId="2" fillId="2" fontId="8" numFmtId="1" xfId="0" applyAlignment="1" applyBorder="1" applyFont="1" applyNumberFormat="1">
      <alignment horizontal="center" readingOrder="0" shrinkToFit="0" vertical="center" wrapText="1"/>
    </xf>
    <xf borderId="2" fillId="2" fontId="8" numFmtId="9" xfId="0" applyAlignment="1" applyBorder="1" applyFont="1" applyNumberFormat="1">
      <alignment horizontal="center" readingOrder="0" shrinkToFit="0" vertical="center" wrapText="1"/>
    </xf>
    <xf borderId="2" fillId="2" fontId="1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1"/>
    </xf>
    <xf borderId="0" fillId="0" fontId="30" numFmtId="0" xfId="0" applyAlignment="1" applyFont="1">
      <alignment horizontal="left" readingOrder="0" shrinkToFit="0" vertical="bottom" wrapText="1"/>
    </xf>
    <xf borderId="0" fillId="0" fontId="31" numFmtId="0" xfId="0" applyAlignment="1" applyFont="1">
      <alignment horizontal="left" readingOrder="0" shrinkToFit="0" vertical="bottom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left" readingOrder="0" shrinkToFit="0" vertical="center" wrapText="1"/>
    </xf>
    <xf borderId="1" fillId="3" fontId="14" numFmtId="164" xfId="0" applyAlignment="1" applyBorder="1" applyFont="1" applyNumberForma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32" numFmtId="0" xfId="0" applyAlignment="1" applyBorder="1" applyFont="1">
      <alignment horizontal="left" readingOrder="0" shrinkToFit="0" vertical="center" wrapText="1"/>
    </xf>
    <xf borderId="1" fillId="3" fontId="33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3" fontId="8" numFmtId="164" xfId="0" applyAlignment="1" applyBorder="1" applyFont="1" applyNumberFormat="1">
      <alignment horizontal="center" readingOrder="0" shrinkToFit="0" vertical="center" wrapText="1"/>
    </xf>
    <xf borderId="1" fillId="3" fontId="8" numFmtId="1" xfId="0" applyAlignment="1" applyBorder="1" applyFont="1" applyNumberFormat="1">
      <alignment horizontal="center" readingOrder="0" shrinkToFit="0" vertical="center" wrapText="1"/>
    </xf>
    <xf borderId="1" fillId="3" fontId="14" numFmtId="9" xfId="0" applyAlignment="1" applyBorder="1" applyFont="1" applyNumberFormat="1">
      <alignment horizontal="center" readingOrder="0" shrinkToFit="0" vertical="center" wrapText="1"/>
    </xf>
    <xf borderId="1" fillId="3" fontId="34" numFmtId="0" xfId="0" applyAlignment="1" applyBorder="1" applyFont="1">
      <alignment horizontal="center" readingOrder="0" shrinkToFit="0" vertical="center" wrapText="1"/>
    </xf>
    <xf borderId="1" fillId="3" fontId="35" numFmtId="0" xfId="0" applyAlignment="1" applyBorder="1" applyFont="1">
      <alignment horizontal="left" readingOrder="0" shrinkToFit="0" vertical="center" wrapText="1"/>
    </xf>
    <xf borderId="1" fillId="3" fontId="36" numFmtId="0" xfId="0" applyAlignment="1" applyBorder="1" applyFont="1">
      <alignment horizontal="left" readingOrder="0" shrinkToFit="0" vertical="center" wrapText="1"/>
    </xf>
    <xf borderId="0" fillId="3" fontId="37" numFmtId="0" xfId="0" applyAlignment="1" applyFont="1">
      <alignment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3" fontId="8" numFmtId="164" xfId="0" applyAlignment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8" numFmtId="0" xfId="0" applyAlignment="1" applyFont="1">
      <alignment horizontal="left" readingOrder="0" shrinkToFit="0" vertical="center" wrapText="1"/>
    </xf>
    <xf borderId="0" fillId="3" fontId="39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8" numFmtId="1" xfId="0" applyAlignment="1" applyFont="1" applyNumberFormat="1">
      <alignment horizontal="center" readingOrder="0" shrinkToFit="0" vertical="center" wrapText="1"/>
    </xf>
    <xf borderId="0" fillId="3" fontId="14" numFmtId="9" xfId="0" applyAlignment="1" applyFont="1" applyNumberFormat="1">
      <alignment horizontal="center" readingOrder="0" shrinkToFit="0" vertical="center" wrapText="1"/>
    </xf>
    <xf borderId="0" fillId="3" fontId="40" numFmtId="0" xfId="0" applyAlignment="1" applyFont="1">
      <alignment shrinkToFit="0" vertical="center" wrapText="1"/>
    </xf>
    <xf borderId="0" fillId="3" fontId="41" numFmtId="0" xfId="0" applyAlignment="1" applyFont="1">
      <alignment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left" readingOrder="0" shrinkToFit="0" vertical="center" wrapText="1"/>
    </xf>
    <xf borderId="2" fillId="3" fontId="8" numFmtId="164" xfId="0" applyAlignment="1" applyBorder="1" applyFont="1" applyNumberForma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38" numFmtId="0" xfId="0" applyAlignment="1" applyBorder="1" applyFont="1">
      <alignment horizontal="left" readingOrder="0" shrinkToFit="0" vertical="center" wrapText="1"/>
    </xf>
    <xf borderId="2" fillId="3" fontId="43" numFmtId="0" xfId="0" applyAlignment="1" applyBorder="1" applyFont="1">
      <alignment horizontal="left" readingOrder="0" shrinkToFit="0" vertical="center" wrapText="1"/>
    </xf>
    <xf borderId="2" fillId="3" fontId="14" numFmtId="0" xfId="0" applyAlignment="1" applyBorder="1" applyFont="1">
      <alignment horizontal="center" readingOrder="0" shrinkToFit="0" vertical="center" wrapText="1"/>
    </xf>
    <xf borderId="2" fillId="3" fontId="8" numFmtId="1" xfId="0" applyAlignment="1" applyBorder="1" applyFont="1" applyNumberFormat="1">
      <alignment horizontal="center" readingOrder="0" shrinkToFit="0" vertical="center" wrapText="1"/>
    </xf>
    <xf borderId="2" fillId="3" fontId="14" numFmtId="9" xfId="0" applyAlignment="1" applyBorder="1" applyFont="1" applyNumberFormat="1">
      <alignment horizontal="center" readingOrder="0" shrinkToFit="0" vertical="center" wrapText="1"/>
    </xf>
    <xf borderId="2" fillId="3" fontId="8" numFmtId="0" xfId="0" applyAlignment="1" applyBorder="1" applyFont="1">
      <alignment horizontal="left" readingOrder="0" shrinkToFit="0" vertical="center" wrapText="1"/>
    </xf>
    <xf borderId="2" fillId="3" fontId="44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left" readingOrder="0" shrinkToFit="0" vertical="center" wrapText="1"/>
    </xf>
    <xf borderId="3" fillId="2" fontId="8" numFmtId="164" xfId="0" applyAlignment="1" applyBorder="1" applyFont="1" applyNumberForma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left" readingOrder="0" shrinkToFit="0" vertical="center" wrapText="1"/>
    </xf>
    <xf borderId="3" fillId="2" fontId="45" numFmtId="0" xfId="0" applyAlignment="1" applyBorder="1" applyFont="1">
      <alignment horizontal="left" readingOrder="0" shrinkToFit="0" vertical="center" wrapText="1"/>
    </xf>
    <xf borderId="3" fillId="2" fontId="2" numFmtId="2" xfId="0" applyAlignment="1" applyBorder="1" applyFont="1" applyNumberFormat="1">
      <alignment horizontal="center" readingOrder="0" shrinkToFit="0" vertical="center" wrapText="1"/>
    </xf>
    <xf borderId="3" fillId="2" fontId="8" numFmtId="1" xfId="0" applyAlignment="1" applyBorder="1" applyFont="1" applyNumberFormat="1">
      <alignment horizontal="center" readingOrder="0" shrinkToFit="0" vertical="center" wrapText="1"/>
    </xf>
    <xf borderId="3" fillId="2" fontId="8" numFmtId="9" xfId="0" applyAlignment="1" applyBorder="1" applyFont="1" applyNumberFormat="1">
      <alignment horizontal="center" readingOrder="0" shrinkToFit="0" vertical="center" wrapText="1"/>
    </xf>
    <xf borderId="3" fillId="2" fontId="16" numFmtId="0" xfId="0" applyAlignment="1" applyBorder="1" applyFont="1">
      <alignment horizontal="center" readingOrder="0" shrinkToFit="0" vertical="center" wrapText="1"/>
    </xf>
    <xf borderId="3" fillId="2" fontId="16" numFmtId="0" xfId="0" applyAlignment="1" applyBorder="1" applyFont="1">
      <alignment horizontal="left" readingOrder="0" shrinkToFit="0" vertical="center" wrapText="1"/>
    </xf>
    <xf borderId="0" fillId="0" fontId="46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164" xfId="0" applyAlignment="1" applyFont="1" applyNumberFormat="1">
      <alignment horizontal="center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0" numFmtId="1" xfId="0" applyAlignment="1" applyFont="1" applyNumberFormat="1">
      <alignment horizontal="center" readingOrder="0" shrinkToFit="0" wrapText="1"/>
    </xf>
    <xf borderId="0" fillId="0" fontId="25" numFmtId="0" xfId="0" applyAlignment="1" applyFont="1">
      <alignment shrinkToFit="0" vertical="bottom" wrapText="1"/>
    </xf>
    <xf borderId="0" fillId="0" fontId="14" numFmtId="0" xfId="0" applyAlignment="1" applyFont="1">
      <alignment horizontal="center" readingOrder="0" shrinkToFit="0" wrapText="1"/>
    </xf>
    <xf borderId="1" fillId="0" fontId="47" numFmtId="166" xfId="0" applyAlignment="1" applyBorder="1" applyFont="1" applyNumberFormat="1">
      <alignment horizontal="left" readingOrder="0" shrinkToFit="0" wrapText="1"/>
    </xf>
    <xf borderId="1" fillId="0" fontId="48" numFmtId="0" xfId="0" applyAlignment="1" applyBorder="1" applyFont="1">
      <alignment shrinkToFit="0" wrapText="1"/>
    </xf>
    <xf borderId="4" fillId="0" fontId="48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5" fillId="0" fontId="48" numFmtId="0" xfId="0" applyAlignment="1" applyBorder="1" applyFont="1">
      <alignment shrinkToFit="0" wrapText="1"/>
    </xf>
    <xf borderId="2" fillId="0" fontId="48" numFmtId="0" xfId="0" applyAlignment="1" applyBorder="1" applyFont="1">
      <alignment shrinkToFit="0" wrapText="1"/>
    </xf>
    <xf borderId="6" fillId="0" fontId="48" numFmtId="0" xfId="0" applyAlignment="1" applyBorder="1" applyFont="1">
      <alignment shrinkToFit="0" wrapText="1"/>
    </xf>
    <xf borderId="0" fillId="0" fontId="1" numFmtId="166" xfId="0" applyAlignment="1" applyFont="1" applyNumberFormat="1">
      <alignment horizontal="center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49" numFmtId="166" xfId="0" applyAlignment="1" applyBorder="1" applyFont="1" applyNumberFormat="1">
      <alignment horizontal="center" readingOrder="0"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0" fillId="0" fontId="1" numFmtId="166" xfId="0" applyAlignment="1" applyFont="1" applyNumberFormat="1">
      <alignment horizontal="center" readingOrder="0" shrinkToFit="0" wrapText="1"/>
    </xf>
    <xf borderId="2" fillId="0" fontId="50" numFmtId="0" xfId="0" applyAlignment="1" applyBorder="1" applyFont="1">
      <alignment horizontal="center" readingOrder="0" shrinkToFit="0" wrapText="1"/>
    </xf>
    <xf borderId="2" fillId="0" fontId="14" numFmtId="166" xfId="0" applyAlignment="1" applyBorder="1" applyFont="1" applyNumberFormat="1">
      <alignment horizontal="center"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2" fontId="14" numFmtId="0" xfId="0" applyAlignment="1" applyFont="1">
      <alignment horizontal="center" readingOrder="0" shrinkToFit="0" wrapText="1"/>
    </xf>
    <xf borderId="0" fillId="2" fontId="14" numFmtId="166" xfId="0" applyAlignment="1" applyFont="1" applyNumberFormat="1">
      <alignment horizontal="center" readingOrder="0" shrinkToFit="0" wrapText="1"/>
    </xf>
    <xf borderId="0" fillId="2" fontId="51" numFmtId="166" xfId="0" applyAlignment="1" applyFont="1" applyNumberFormat="1">
      <alignment horizontal="center" readingOrder="0" shrinkToFit="0" wrapText="1"/>
    </xf>
    <xf borderId="2" fillId="2" fontId="14" numFmtId="0" xfId="0" applyAlignment="1" applyBorder="1" applyFont="1">
      <alignment horizontal="center" readingOrder="0" shrinkToFit="0" wrapText="1"/>
    </xf>
    <xf borderId="2" fillId="2" fontId="14" numFmtId="166" xfId="0" applyAlignment="1" applyBorder="1" applyFont="1" applyNumberFormat="1">
      <alignment horizontal="center" readingOrder="0" shrinkToFit="0" wrapText="1"/>
    </xf>
    <xf borderId="0" fillId="0" fontId="14" numFmtId="166" xfId="0" applyAlignment="1" applyFont="1" applyNumberFormat="1">
      <alignment shrinkToFit="0" wrapText="1"/>
    </xf>
    <xf borderId="1" fillId="2" fontId="14" numFmtId="0" xfId="0" applyAlignment="1" applyBorder="1" applyFont="1">
      <alignment horizontal="center" readingOrder="0" shrinkToFit="0" vertical="bottom" wrapText="1"/>
    </xf>
    <xf borderId="1" fillId="2" fontId="14" numFmtId="166" xfId="0" applyAlignment="1" applyBorder="1" applyFont="1" applyNumberFormat="1">
      <alignment horizontal="center" readingOrder="0" shrinkToFit="0" vertical="bottom" wrapText="1"/>
    </xf>
    <xf borderId="0" fillId="0" fontId="50" numFmtId="0" xfId="0" applyAlignment="1" applyFont="1">
      <alignment horizontal="center" readingOrder="0" shrinkToFit="0" wrapText="1"/>
    </xf>
    <xf borderId="0" fillId="0" fontId="14" numFmtId="166" xfId="0" applyAlignment="1" applyFont="1" applyNumberFormat="1">
      <alignment horizontal="center" readingOrder="0" shrinkToFit="0" wrapText="1"/>
    </xf>
    <xf borderId="3" fillId="2" fontId="14" numFmtId="0" xfId="0" applyAlignment="1" applyBorder="1" applyFont="1">
      <alignment horizontal="center" readingOrder="0" shrinkToFit="0" wrapText="1"/>
    </xf>
    <xf borderId="3" fillId="2" fontId="14" numFmtId="166" xfId="0" applyAlignment="1" applyBorder="1" applyFont="1" applyNumberFormat="1">
      <alignment horizontal="center" readingOrder="0" shrinkToFit="0" wrapText="1"/>
    </xf>
    <xf borderId="9" fillId="0" fontId="14" numFmtId="0" xfId="0" applyAlignment="1" applyBorder="1" applyFont="1">
      <alignment shrinkToFit="0" wrapText="1"/>
    </xf>
    <xf borderId="2" fillId="0" fontId="14" numFmtId="0" xfId="0" applyAlignment="1" applyBorder="1" applyFont="1">
      <alignment shrinkToFit="0" wrapText="1"/>
    </xf>
    <xf borderId="3" fillId="3" fontId="14" numFmtId="0" xfId="0" applyAlignment="1" applyBorder="1" applyFont="1">
      <alignment horizontal="center" readingOrder="0" shrinkToFit="0" wrapText="1"/>
    </xf>
    <xf borderId="3" fillId="3" fontId="14" numFmtId="166" xfId="0" applyAlignment="1" applyBorder="1" applyFont="1" applyNumberFormat="1">
      <alignment horizontal="center" readingOrder="0" shrinkToFit="0" wrapText="1"/>
    </xf>
    <xf borderId="1" fillId="3" fontId="14" numFmtId="0" xfId="0" applyAlignment="1" applyBorder="1" applyFont="1">
      <alignment horizontal="center" readingOrder="0" shrinkToFit="0" wrapText="1"/>
    </xf>
    <xf borderId="1" fillId="3" fontId="14" numFmtId="166" xfId="0" applyAlignment="1" applyBorder="1" applyFont="1" applyNumberFormat="1">
      <alignment horizontal="center" readingOrder="0" shrinkToFit="0" wrapText="1"/>
    </xf>
    <xf borderId="0" fillId="3" fontId="14" numFmtId="0" xfId="0" applyAlignment="1" applyFont="1">
      <alignment horizontal="center" readingOrder="0" shrinkToFit="0" wrapText="1"/>
    </xf>
    <xf borderId="0" fillId="3" fontId="14" numFmtId="166" xfId="0" applyAlignment="1" applyFont="1" applyNumberFormat="1">
      <alignment horizontal="center" readingOrder="0" shrinkToFit="0" wrapText="1"/>
    </xf>
    <xf borderId="5" fillId="3" fontId="14" numFmtId="166" xfId="0" applyAlignment="1" applyBorder="1" applyFont="1" applyNumberFormat="1">
      <alignment horizontal="center" readingOrder="0" shrinkToFit="0" wrapText="1"/>
    </xf>
    <xf borderId="8" fillId="3" fontId="14" numFmtId="166" xfId="0" applyAlignment="1" applyBorder="1" applyFont="1" applyNumberFormat="1">
      <alignment horizontal="center" readingOrder="0" shrinkToFit="0" wrapText="1"/>
    </xf>
    <xf borderId="2" fillId="3" fontId="14" numFmtId="0" xfId="0" applyAlignment="1" applyBorder="1" applyFont="1">
      <alignment horizontal="center" readingOrder="0" shrinkToFit="0" wrapText="1"/>
    </xf>
    <xf borderId="2" fillId="3" fontId="14" numFmtId="166" xfId="0" applyAlignment="1" applyBorder="1" applyFont="1" applyNumberFormat="1">
      <alignment horizontal="center" readingOrder="0" shrinkToFit="0" wrapText="1"/>
    </xf>
    <xf borderId="10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port.itelescope.net/support/solutions/articles/251171-telescope-70" TargetMode="External"/><Relationship Id="rId42" Type="http://schemas.openxmlformats.org/officeDocument/2006/relationships/hyperlink" Target="https://support.itelescope.net/support/solutions/articles/251753-telescope-71" TargetMode="External"/><Relationship Id="rId41" Type="http://schemas.openxmlformats.org/officeDocument/2006/relationships/hyperlink" Target="https://i.zwoastro.com/wp-content/uploads/2024/12/661fa4748a2fd93dd6ccad5bbe6bf671.pdf" TargetMode="External"/><Relationship Id="rId44" Type="http://schemas.openxmlformats.org/officeDocument/2006/relationships/hyperlink" Target="https://support.itelescope.net/support/solutions/articles/254436-telescope-72" TargetMode="External"/><Relationship Id="rId43" Type="http://schemas.openxmlformats.org/officeDocument/2006/relationships/hyperlink" Target="https://www.cedic.at/arc/c17/dwn/pub/CEDIC17_P03_FLI.pdf" TargetMode="External"/><Relationship Id="rId46" Type="http://schemas.openxmlformats.org/officeDocument/2006/relationships/hyperlink" Target="https://support.itelescope.net/support/solutions/articles/261371" TargetMode="External"/><Relationship Id="rId45" Type="http://schemas.openxmlformats.org/officeDocument/2006/relationships/hyperlink" Target="https://i.zwoastro.com/wp-content/uploads/2024/12/661fa4748a2fd93dd6ccad5bbe6bf671.pdf" TargetMode="External"/><Relationship Id="rId1" Type="http://schemas.openxmlformats.org/officeDocument/2006/relationships/hyperlink" Target="https://support.itelescope.net/support/solutions/articles/142950-where-are-the-itelescopes-located-" TargetMode="External"/><Relationship Id="rId2" Type="http://schemas.openxmlformats.org/officeDocument/2006/relationships/hyperlink" Target="https://www.qhyccd.com/astronomical-camera-qhy268/" TargetMode="External"/><Relationship Id="rId3" Type="http://schemas.openxmlformats.org/officeDocument/2006/relationships/hyperlink" Target="https://support.itelescope.net/support/solutions/articles/231901-telescope-2" TargetMode="External"/><Relationship Id="rId4" Type="http://schemas.openxmlformats.org/officeDocument/2006/relationships/hyperlink" Target="http://diffractionlimited.com/wp-content/uploads/2016/03/USBmanRev14.pdf" TargetMode="External"/><Relationship Id="rId9" Type="http://schemas.openxmlformats.org/officeDocument/2006/relationships/hyperlink" Target="https://diffractionlimited.com/wp-content/uploads/2016/12/stx16803_overview_7_12_11.pdf" TargetMode="External"/><Relationship Id="rId48" Type="http://schemas.openxmlformats.org/officeDocument/2006/relationships/hyperlink" Target="https://support.itelescope.net/support/solutions/articles/258871" TargetMode="External"/><Relationship Id="rId47" Type="http://schemas.openxmlformats.org/officeDocument/2006/relationships/hyperlink" Target="https://i.zwoastro.com/zwo-website/manuals/ASI6200_Manual_EN_v1.4.pdf" TargetMode="External"/><Relationship Id="rId49" Type="http://schemas.openxmlformats.org/officeDocument/2006/relationships/hyperlink" Target="https://support.itelescope.net/support/solutions/articles/142950-where-are-the-itelescopes-located-" TargetMode="External"/><Relationship Id="rId5" Type="http://schemas.openxmlformats.org/officeDocument/2006/relationships/hyperlink" Target="https://support.itelescope.net/support/solutions/articles/231902-telescope-5" TargetMode="External"/><Relationship Id="rId6" Type="http://schemas.openxmlformats.org/officeDocument/2006/relationships/hyperlink" Target="https://www.flicamera.com/proline/index.html" TargetMode="External"/><Relationship Id="rId7" Type="http://schemas.openxmlformats.org/officeDocument/2006/relationships/hyperlink" Target="http://www.astrodon.com/products/filters/astrodon_photometrics_-_uvbric/" TargetMode="External"/><Relationship Id="rId8" Type="http://schemas.openxmlformats.org/officeDocument/2006/relationships/hyperlink" Target="https://support.itelescope.net/support/solutions/articles/231903-telescope-11" TargetMode="External"/><Relationship Id="rId31" Type="http://schemas.openxmlformats.org/officeDocument/2006/relationships/hyperlink" Target="https://i.zwoastro.com/zwo-website/manuals/ASI6200_Manual_EN_v1.4.pdf" TargetMode="External"/><Relationship Id="rId30" Type="http://schemas.openxmlformats.org/officeDocument/2006/relationships/hyperlink" Target="https://support.itelescope.net/support/solutions/articles/231917-telescope-30" TargetMode="External"/><Relationship Id="rId33" Type="http://schemas.openxmlformats.org/officeDocument/2006/relationships/hyperlink" Target="http://www.physics.hmc.edu/faculty/esin/a101/hw/Apogee.pdf" TargetMode="External"/><Relationship Id="rId32" Type="http://schemas.openxmlformats.org/officeDocument/2006/relationships/hyperlink" Target="https://support.itelescope.net/support/solutions/articles/231919-telescope-32" TargetMode="External"/><Relationship Id="rId35" Type="http://schemas.openxmlformats.org/officeDocument/2006/relationships/hyperlink" Target="https://homepage.physics.uiowa.edu/~pkaaret/2013f_29c137/PL16803.pdf" TargetMode="External"/><Relationship Id="rId34" Type="http://schemas.openxmlformats.org/officeDocument/2006/relationships/hyperlink" Target="https://support.itelescope.net/support/solutions/articles/231920-telescope-33" TargetMode="External"/><Relationship Id="rId37" Type="http://schemas.openxmlformats.org/officeDocument/2006/relationships/hyperlink" Target="https://support.itelescope.net/support/solutions/articles/142950-where-are-the-itelescopes-located-" TargetMode="External"/><Relationship Id="rId36" Type="http://schemas.openxmlformats.org/officeDocument/2006/relationships/hyperlink" Target="https://support.itelescope.net/support/solutions/articles/254307-telescope-59" TargetMode="External"/><Relationship Id="rId39" Type="http://schemas.openxmlformats.org/officeDocument/2006/relationships/hyperlink" Target="https://i.zwoastro.com/wp-content/uploads/2024/12/661fa4748a2fd93dd6ccad5bbe6bf671.pdf" TargetMode="External"/><Relationship Id="rId38" Type="http://schemas.openxmlformats.org/officeDocument/2006/relationships/hyperlink" Target="https://www.samyanglens.com/en/product/product-view.php?seq=323" TargetMode="External"/><Relationship Id="rId20" Type="http://schemas.openxmlformats.org/officeDocument/2006/relationships/hyperlink" Target="https://support.itelescope.net/support/solutions/articles/245471-telescope-t68" TargetMode="External"/><Relationship Id="rId22" Type="http://schemas.openxmlformats.org/officeDocument/2006/relationships/hyperlink" Target="https://player-one-astronomy.com/download/Product%20specification%20manual/Zeus%20455M%20PRO%20camera%20Manual.pdf" TargetMode="External"/><Relationship Id="rId21" Type="http://schemas.openxmlformats.org/officeDocument/2006/relationships/hyperlink" Target="https://support.itelescope.net/support/solutions/articles/142950-where-are-the-itelescopes-located-" TargetMode="External"/><Relationship Id="rId24" Type="http://schemas.openxmlformats.org/officeDocument/2006/relationships/hyperlink" Target="https://support.itelescope.net/support/solutions/articles/142950-where-are-the-itelescopes-located-" TargetMode="External"/><Relationship Id="rId23" Type="http://schemas.openxmlformats.org/officeDocument/2006/relationships/hyperlink" Target="https://support.itelescope.net/support/solutions/articles/231907-telescope-24" TargetMode="External"/><Relationship Id="rId26" Type="http://schemas.openxmlformats.org/officeDocument/2006/relationships/hyperlink" Target="https://support.itelescope.net/support/solutions/articles/231911-telescope-8" TargetMode="External"/><Relationship Id="rId25" Type="http://schemas.openxmlformats.org/officeDocument/2006/relationships/hyperlink" Target="https://www.flicamera.com/spec_sheets/archive/ML16803.pdf" TargetMode="External"/><Relationship Id="rId28" Type="http://schemas.openxmlformats.org/officeDocument/2006/relationships/hyperlink" Target="https://support.itelescope.net/support/solutions/articles/231915-telescope-17" TargetMode="External"/><Relationship Id="rId27" Type="http://schemas.openxmlformats.org/officeDocument/2006/relationships/hyperlink" Target="https://i.zwoastro.com/zwo-website/manuals/ASI6200_Manual_EN_v1.4.pdf" TargetMode="External"/><Relationship Id="rId29" Type="http://schemas.openxmlformats.org/officeDocument/2006/relationships/hyperlink" Target="https://www.flicamera.com/spec_sheets/archive/PL6303.pdf" TargetMode="External"/><Relationship Id="rId51" Type="http://schemas.openxmlformats.org/officeDocument/2006/relationships/hyperlink" Target="https://support.itelescope.net/support/solutions/articles/231910-telescope-18" TargetMode="External"/><Relationship Id="rId50" Type="http://schemas.openxmlformats.org/officeDocument/2006/relationships/hyperlink" Target="https://www.qhyccd.com/astronomical-camera-qhy600/" TargetMode="External"/><Relationship Id="rId53" Type="http://schemas.openxmlformats.org/officeDocument/2006/relationships/hyperlink" Target="https://www.samyanglens.com/en/product/product-view.php?seq=323" TargetMode="External"/><Relationship Id="rId52" Type="http://schemas.openxmlformats.org/officeDocument/2006/relationships/hyperlink" Target="https://support.itelescope.net/support/solutions/articles/142950-where-are-the-itelescopes-located-" TargetMode="External"/><Relationship Id="rId11" Type="http://schemas.openxmlformats.org/officeDocument/2006/relationships/hyperlink" Target="https://astronomy-imaging-camera.com/product/asi2400mc-pro/" TargetMode="External"/><Relationship Id="rId55" Type="http://schemas.openxmlformats.org/officeDocument/2006/relationships/hyperlink" Target="https://support.itelescope.net/support/solutions/articles/254953-telescope-80" TargetMode="External"/><Relationship Id="rId10" Type="http://schemas.openxmlformats.org/officeDocument/2006/relationships/hyperlink" Target="https://support.itelescope.net/support/solutions/articles/231904-telescope-14" TargetMode="External"/><Relationship Id="rId54" Type="http://schemas.openxmlformats.org/officeDocument/2006/relationships/hyperlink" Target="https://i.zwoastro.com/wp-content/uploads/2024/12/661fa4748a2fd93dd6ccad5bbe6bf671.pdf" TargetMode="External"/><Relationship Id="rId13" Type="http://schemas.openxmlformats.org/officeDocument/2006/relationships/hyperlink" Target="https://www.1stvision.com/cameras/sensor_specs/KAF-6303ProductSummary.pdf" TargetMode="External"/><Relationship Id="rId12" Type="http://schemas.openxmlformats.org/officeDocument/2006/relationships/hyperlink" Target="https://support.itelescope.net/support/solutions/articles/231905-telescope-20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player-one-astronomy.com/download/Product%20specification%20manual/Zeus%20455M%20PRO%20camera%20Manual.pdf" TargetMode="External"/><Relationship Id="rId14" Type="http://schemas.openxmlformats.org/officeDocument/2006/relationships/hyperlink" Target="https://support.itelescope.net/support/solutions/articles/231906-telescope-21" TargetMode="External"/><Relationship Id="rId17" Type="http://schemas.openxmlformats.org/officeDocument/2006/relationships/hyperlink" Target="https://i.zwoastro.com/zwo-website/manuals/ASI6200_Manual_EN_v1.4.pdf" TargetMode="External"/><Relationship Id="rId16" Type="http://schemas.openxmlformats.org/officeDocument/2006/relationships/hyperlink" Target="https://support.itelescope.net/support/solutions/articles/263027-telescope-25" TargetMode="External"/><Relationship Id="rId19" Type="http://schemas.openxmlformats.org/officeDocument/2006/relationships/hyperlink" Target="https://support.itelescope.net/support/solutions/articles/263040-telescope-26-t26deep-space-utah-usa" TargetMode="External"/><Relationship Id="rId18" Type="http://schemas.openxmlformats.org/officeDocument/2006/relationships/hyperlink" Target="https://www.chroma.com/products/sets/27101-lrg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telescope.net/session-vs-exposure-pricing" TargetMode="External"/><Relationship Id="rId2" Type="http://schemas.openxmlformats.org/officeDocument/2006/relationships/hyperlink" Target="https://support.itelescope.net/support/solutions/articles/252769-session-and-exposure-billing" TargetMode="External"/><Relationship Id="rId3" Type="http://schemas.openxmlformats.org/officeDocument/2006/relationships/hyperlink" Target="https://support.itelescope.net/support/solutions/articles/252769-session-and-exposure-billing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 outlineLevelCol="1"/>
  <cols>
    <col customWidth="1" min="1" max="1" width="11.13"/>
    <col customWidth="1" min="2" max="2" width="18.38"/>
    <col customWidth="1" min="3" max="3" width="13.0" outlineLevel="1"/>
    <col customWidth="1" min="4" max="4" width="16.25" outlineLevel="1"/>
    <col customWidth="1" min="5" max="5" width="19.63" outlineLevel="1"/>
    <col customWidth="1" min="6" max="6" width="8.25" outlineLevel="1"/>
    <col customWidth="1" min="7" max="7" width="24.5"/>
    <col customWidth="1" min="8" max="8" width="23.88"/>
    <col customWidth="1" min="9" max="9" width="21.38"/>
    <col customWidth="1" min="10" max="10" width="17.0" outlineLevel="1"/>
    <col customWidth="1" min="11" max="12" width="14.5" outlineLevel="1"/>
    <col customWidth="1" min="13" max="13" width="14.5"/>
    <col customWidth="1" min="14" max="15" width="12.0"/>
    <col customWidth="1" min="16" max="16" width="12.0" outlineLevel="1"/>
    <col customWidth="1" min="17" max="17" width="13.0" outlineLevel="1"/>
    <col customWidth="1" min="18" max="18" width="12.0" outlineLevel="1"/>
    <col customWidth="1" min="19" max="20" width="10.13" outlineLevel="1"/>
    <col customWidth="1" min="21" max="21" width="10.13"/>
    <col customWidth="1" min="22" max="22" width="11.75"/>
    <col customWidth="1" min="23" max="23" width="10.13"/>
    <col customWidth="1" min="24" max="24" width="16.5"/>
    <col customWidth="1" min="25" max="25" width="19.63"/>
    <col customWidth="1" min="26" max="26" width="20.88"/>
    <col customWidth="1" min="27" max="28" width="52.63"/>
    <col customWidth="1" min="29" max="29" width="37.75"/>
  </cols>
  <sheetData>
    <row r="1" ht="59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8" t="s">
        <v>15</v>
      </c>
      <c r="Q1" s="9" t="s">
        <v>16</v>
      </c>
      <c r="R1" s="4" t="s">
        <v>17</v>
      </c>
      <c r="S1" s="4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4" t="s">
        <v>23</v>
      </c>
      <c r="Y1" s="6" t="s">
        <v>24</v>
      </c>
      <c r="Z1" s="6" t="s">
        <v>25</v>
      </c>
      <c r="AA1" s="6" t="s">
        <v>26</v>
      </c>
      <c r="AB1" s="5" t="s">
        <v>27</v>
      </c>
      <c r="AC1" s="5" t="s">
        <v>28</v>
      </c>
    </row>
    <row r="2" ht="19.5" customHeight="1">
      <c r="A2" s="11"/>
      <c r="B2" s="12" t="s">
        <v>29</v>
      </c>
      <c r="C2" s="13"/>
      <c r="D2" s="13"/>
      <c r="E2" s="14"/>
      <c r="F2" s="14"/>
      <c r="G2" s="13"/>
      <c r="H2" s="13"/>
      <c r="J2" s="15" t="s">
        <v>30</v>
      </c>
      <c r="K2" s="16"/>
      <c r="L2" s="16"/>
      <c r="M2" s="16"/>
      <c r="N2" s="16"/>
      <c r="O2" s="16"/>
      <c r="P2" s="17"/>
      <c r="Q2" s="17"/>
      <c r="R2" s="16"/>
      <c r="S2" s="16"/>
      <c r="T2" s="16"/>
      <c r="U2" s="16"/>
      <c r="V2" s="18"/>
      <c r="W2" s="18"/>
      <c r="X2" s="17"/>
      <c r="Y2" s="16"/>
      <c r="Z2" s="16"/>
      <c r="AA2" s="16"/>
      <c r="AB2" s="16"/>
      <c r="AC2" s="16"/>
    </row>
    <row r="3">
      <c r="A3" s="19" t="s">
        <v>31</v>
      </c>
      <c r="B3" s="20" t="s">
        <v>32</v>
      </c>
      <c r="C3" s="21">
        <f t="shared" ref="C3:C11" si="1">D3*(1/25.4)</f>
        <v>5.905511811</v>
      </c>
      <c r="D3" s="22">
        <v>150.0</v>
      </c>
      <c r="E3" s="23">
        <v>1105.1</v>
      </c>
      <c r="F3" s="23" t="s">
        <v>33</v>
      </c>
      <c r="G3" s="24" t="s">
        <v>34</v>
      </c>
      <c r="H3" s="25" t="s">
        <v>35</v>
      </c>
      <c r="I3" s="26" t="s">
        <v>36</v>
      </c>
      <c r="J3" s="22" t="s">
        <v>37</v>
      </c>
      <c r="K3" s="22" t="s">
        <v>38</v>
      </c>
      <c r="L3" s="22" t="s">
        <v>39</v>
      </c>
      <c r="M3" s="22" t="s">
        <v>40</v>
      </c>
      <c r="N3" s="22">
        <v>72.6</v>
      </c>
      <c r="O3" s="22">
        <v>48.6</v>
      </c>
      <c r="P3" s="23">
        <v>3.76</v>
      </c>
      <c r="Q3" s="27" t="str">
        <f t="shared" ref="Q3:Q9" si="2">CONCATENATE(Round(((N3*60)/S3),2),"""")</f>
        <v>0.69"</v>
      </c>
      <c r="R3" s="21">
        <f t="shared" ref="R3:R11" si="3">(S3*T3)/1000000</f>
        <v>26.4388</v>
      </c>
      <c r="S3" s="22">
        <v>6280.0</v>
      </c>
      <c r="T3" s="28">
        <v>4210.0</v>
      </c>
      <c r="U3" s="29">
        <v>0.9</v>
      </c>
      <c r="V3" s="22" t="s">
        <v>41</v>
      </c>
      <c r="W3" s="22" t="s">
        <v>42</v>
      </c>
      <c r="X3" s="23">
        <v>300.0</v>
      </c>
      <c r="Y3" s="25" t="s">
        <v>43</v>
      </c>
      <c r="Z3" s="25" t="s">
        <v>44</v>
      </c>
      <c r="AA3" s="20" t="s">
        <v>45</v>
      </c>
      <c r="AB3" s="20" t="s">
        <v>46</v>
      </c>
      <c r="AC3" s="30" t="s">
        <v>47</v>
      </c>
    </row>
    <row r="4">
      <c r="A4" s="31" t="s">
        <v>48</v>
      </c>
      <c r="B4" s="32" t="s">
        <v>49</v>
      </c>
      <c r="C4" s="33">
        <f t="shared" si="1"/>
        <v>9.842519685</v>
      </c>
      <c r="D4" s="34">
        <v>250.0</v>
      </c>
      <c r="E4" s="35">
        <v>850.0</v>
      </c>
      <c r="F4" s="35" t="s">
        <v>50</v>
      </c>
      <c r="G4" s="36" t="s">
        <v>51</v>
      </c>
      <c r="H4" s="32" t="s">
        <v>52</v>
      </c>
      <c r="I4" s="37" t="s">
        <v>53</v>
      </c>
      <c r="J4" s="34" t="s">
        <v>54</v>
      </c>
      <c r="K4" s="34" t="s">
        <v>42</v>
      </c>
      <c r="L4" s="34" t="s">
        <v>55</v>
      </c>
      <c r="M4" s="34" t="s">
        <v>56</v>
      </c>
      <c r="N4" s="34">
        <v>60.6</v>
      </c>
      <c r="O4" s="34">
        <v>40.8</v>
      </c>
      <c r="P4" s="35">
        <v>6.8</v>
      </c>
      <c r="Q4" s="38" t="str">
        <f t="shared" si="2"/>
        <v>1.66"</v>
      </c>
      <c r="R4" s="33">
        <f t="shared" si="3"/>
        <v>3.214848</v>
      </c>
      <c r="S4" s="34">
        <v>2184.0</v>
      </c>
      <c r="T4" s="39">
        <v>1472.0</v>
      </c>
      <c r="U4" s="40">
        <v>0.85</v>
      </c>
      <c r="V4" s="34" t="s">
        <v>57</v>
      </c>
      <c r="W4" s="34" t="s">
        <v>58</v>
      </c>
      <c r="X4" s="35">
        <v>300.0</v>
      </c>
      <c r="Y4" s="36" t="s">
        <v>59</v>
      </c>
      <c r="Z4" s="36" t="s">
        <v>60</v>
      </c>
      <c r="AA4" s="36" t="s">
        <v>61</v>
      </c>
      <c r="AB4" s="32" t="s">
        <v>62</v>
      </c>
      <c r="AC4" s="41" t="s">
        <v>47</v>
      </c>
    </row>
    <row r="5">
      <c r="A5" s="42" t="s">
        <v>63</v>
      </c>
      <c r="B5" s="43" t="s">
        <v>64</v>
      </c>
      <c r="C5" s="33">
        <f t="shared" si="1"/>
        <v>20.07874016</v>
      </c>
      <c r="D5" s="44">
        <v>510.0</v>
      </c>
      <c r="E5" s="42" t="s">
        <v>65</v>
      </c>
      <c r="F5" s="42" t="s">
        <v>66</v>
      </c>
      <c r="G5" s="36" t="s">
        <v>67</v>
      </c>
      <c r="H5" s="36" t="s">
        <v>68</v>
      </c>
      <c r="I5" s="45" t="s">
        <v>69</v>
      </c>
      <c r="J5" s="44" t="s">
        <v>54</v>
      </c>
      <c r="K5" s="34" t="s">
        <v>42</v>
      </c>
      <c r="L5" s="34" t="s">
        <v>70</v>
      </c>
      <c r="M5" s="34" t="s">
        <v>71</v>
      </c>
      <c r="N5" s="34">
        <v>54.3</v>
      </c>
      <c r="O5" s="34">
        <v>36.2</v>
      </c>
      <c r="P5" s="42">
        <v>9.0</v>
      </c>
      <c r="Q5" s="38" t="str">
        <f t="shared" si="2"/>
        <v>0.81"</v>
      </c>
      <c r="R5" s="33">
        <f t="shared" si="3"/>
        <v>10.709376</v>
      </c>
      <c r="S5" s="34">
        <v>4008.0</v>
      </c>
      <c r="T5" s="39">
        <v>2672.0</v>
      </c>
      <c r="U5" s="46">
        <v>0.51</v>
      </c>
      <c r="V5" s="44" t="s">
        <v>72</v>
      </c>
      <c r="W5" s="44" t="s">
        <v>73</v>
      </c>
      <c r="X5" s="35">
        <v>600.0</v>
      </c>
      <c r="Y5" s="36" t="s">
        <v>74</v>
      </c>
      <c r="Z5" s="43" t="s">
        <v>75</v>
      </c>
      <c r="AA5" s="37" t="s">
        <v>76</v>
      </c>
      <c r="AB5" s="47" t="s">
        <v>77</v>
      </c>
      <c r="AC5" s="41" t="s">
        <v>47</v>
      </c>
    </row>
    <row r="6">
      <c r="A6" s="42" t="s">
        <v>78</v>
      </c>
      <c r="B6" s="32" t="s">
        <v>79</v>
      </c>
      <c r="C6" s="33">
        <f t="shared" si="1"/>
        <v>4.173228346</v>
      </c>
      <c r="D6" s="34">
        <v>106.0</v>
      </c>
      <c r="E6" s="35">
        <v>530.0</v>
      </c>
      <c r="F6" s="35" t="s">
        <v>80</v>
      </c>
      <c r="G6" s="36" t="s">
        <v>81</v>
      </c>
      <c r="H6" s="36" t="s">
        <v>82</v>
      </c>
      <c r="I6" s="45" t="s">
        <v>83</v>
      </c>
      <c r="J6" s="44" t="s">
        <v>54</v>
      </c>
      <c r="K6" s="34" t="s">
        <v>42</v>
      </c>
      <c r="L6" s="34" t="s">
        <v>84</v>
      </c>
      <c r="M6" s="34" t="s">
        <v>85</v>
      </c>
      <c r="N6" s="34">
        <v>238.8</v>
      </c>
      <c r="O6" s="34">
        <v>238.8</v>
      </c>
      <c r="P6" s="35">
        <v>9.0</v>
      </c>
      <c r="Q6" s="38" t="str">
        <f t="shared" si="2"/>
        <v>3.5"</v>
      </c>
      <c r="R6" s="33">
        <f t="shared" si="3"/>
        <v>16.777216</v>
      </c>
      <c r="S6" s="34">
        <v>4096.0</v>
      </c>
      <c r="T6" s="39">
        <v>4096.0</v>
      </c>
      <c r="U6" s="40">
        <v>0.6</v>
      </c>
      <c r="V6" s="44" t="s">
        <v>57</v>
      </c>
      <c r="W6" s="34" t="s">
        <v>73</v>
      </c>
      <c r="X6" s="35">
        <v>600.0</v>
      </c>
      <c r="Y6" s="36" t="s">
        <v>86</v>
      </c>
      <c r="Z6" s="32" t="s">
        <v>87</v>
      </c>
      <c r="AA6" s="36" t="s">
        <v>88</v>
      </c>
      <c r="AB6" s="47" t="s">
        <v>89</v>
      </c>
      <c r="AC6" s="41" t="s">
        <v>47</v>
      </c>
    </row>
    <row r="7">
      <c r="A7" s="42" t="s">
        <v>90</v>
      </c>
      <c r="B7" s="32" t="s">
        <v>79</v>
      </c>
      <c r="C7" s="33">
        <f t="shared" si="1"/>
        <v>4.173228346</v>
      </c>
      <c r="D7" s="34">
        <v>106.0</v>
      </c>
      <c r="E7" s="35">
        <v>530.0</v>
      </c>
      <c r="F7" s="35" t="s">
        <v>80</v>
      </c>
      <c r="G7" s="36" t="s">
        <v>91</v>
      </c>
      <c r="H7" s="36" t="s">
        <v>82</v>
      </c>
      <c r="I7" s="45" t="s">
        <v>92</v>
      </c>
      <c r="J7" s="34" t="s">
        <v>93</v>
      </c>
      <c r="K7" s="34" t="s">
        <v>94</v>
      </c>
      <c r="L7" s="34" t="s">
        <v>70</v>
      </c>
      <c r="M7" s="34" t="s">
        <v>95</v>
      </c>
      <c r="N7" s="34">
        <v>233.7</v>
      </c>
      <c r="O7" s="34">
        <v>155.8</v>
      </c>
      <c r="P7" s="35">
        <v>5.94</v>
      </c>
      <c r="Q7" s="38" t="str">
        <f t="shared" si="2"/>
        <v>2.31"</v>
      </c>
      <c r="R7" s="33">
        <f t="shared" si="3"/>
        <v>24.543024</v>
      </c>
      <c r="S7" s="34">
        <v>6072.0</v>
      </c>
      <c r="T7" s="39">
        <v>4042.0</v>
      </c>
      <c r="U7" s="34" t="s">
        <v>96</v>
      </c>
      <c r="V7" s="44" t="s">
        <v>97</v>
      </c>
      <c r="W7" s="34" t="s">
        <v>73</v>
      </c>
      <c r="X7" s="48">
        <v>300.0</v>
      </c>
      <c r="Y7" s="36" t="s">
        <v>86</v>
      </c>
      <c r="Z7" s="36" t="s">
        <v>87</v>
      </c>
      <c r="AA7" s="36" t="s">
        <v>98</v>
      </c>
      <c r="AB7" s="49" t="s">
        <v>99</v>
      </c>
      <c r="AC7" s="41" t="s">
        <v>47</v>
      </c>
    </row>
    <row r="8">
      <c r="A8" s="42" t="s">
        <v>100</v>
      </c>
      <c r="B8" s="43" t="s">
        <v>64</v>
      </c>
      <c r="C8" s="33">
        <f t="shared" si="1"/>
        <v>16.96850394</v>
      </c>
      <c r="D8" s="44">
        <v>431.0</v>
      </c>
      <c r="E8" s="42" t="s">
        <v>101</v>
      </c>
      <c r="F8" s="42" t="s">
        <v>66</v>
      </c>
      <c r="G8" s="50" t="s">
        <v>102</v>
      </c>
      <c r="H8" s="36" t="s">
        <v>68</v>
      </c>
      <c r="I8" s="45" t="s">
        <v>103</v>
      </c>
      <c r="J8" s="44" t="s">
        <v>54</v>
      </c>
      <c r="K8" s="34" t="s">
        <v>42</v>
      </c>
      <c r="L8" s="34" t="s">
        <v>104</v>
      </c>
      <c r="M8" s="34" t="s">
        <v>105</v>
      </c>
      <c r="N8" s="34">
        <v>49.2</v>
      </c>
      <c r="O8" s="34">
        <v>32.8</v>
      </c>
      <c r="P8" s="42">
        <v>9.0</v>
      </c>
      <c r="Q8" s="38" t="str">
        <f t="shared" si="2"/>
        <v>0.96"</v>
      </c>
      <c r="R8" s="33">
        <f t="shared" si="3"/>
        <v>6.291456</v>
      </c>
      <c r="S8" s="34">
        <v>3072.0</v>
      </c>
      <c r="T8" s="39">
        <v>2048.0</v>
      </c>
      <c r="U8" s="46">
        <v>0.68</v>
      </c>
      <c r="V8" s="34" t="s">
        <v>57</v>
      </c>
      <c r="W8" s="34" t="s">
        <v>58</v>
      </c>
      <c r="X8" s="48">
        <v>600.0</v>
      </c>
      <c r="Y8" s="36" t="s">
        <v>74</v>
      </c>
      <c r="Z8" s="36" t="s">
        <v>75</v>
      </c>
      <c r="AA8" s="36" t="s">
        <v>106</v>
      </c>
      <c r="AB8" s="36" t="s">
        <v>107</v>
      </c>
      <c r="AC8" s="41" t="s">
        <v>47</v>
      </c>
    </row>
    <row r="9">
      <c r="A9" s="42" t="s">
        <v>108</v>
      </c>
      <c r="B9" s="32" t="s">
        <v>64</v>
      </c>
      <c r="C9" s="33">
        <f t="shared" si="1"/>
        <v>20</v>
      </c>
      <c r="D9" s="44">
        <v>508.0</v>
      </c>
      <c r="E9" s="35">
        <v>3454.0</v>
      </c>
      <c r="F9" s="35" t="s">
        <v>109</v>
      </c>
      <c r="G9" s="32" t="s">
        <v>67</v>
      </c>
      <c r="H9" s="36" t="s">
        <v>68</v>
      </c>
      <c r="I9" s="51" t="s">
        <v>110</v>
      </c>
      <c r="J9" s="34" t="s">
        <v>111</v>
      </c>
      <c r="K9" s="34" t="s">
        <v>112</v>
      </c>
      <c r="L9" s="34" t="s">
        <v>70</v>
      </c>
      <c r="M9" s="34" t="s">
        <v>113</v>
      </c>
      <c r="N9" s="34">
        <v>36.2</v>
      </c>
      <c r="O9" s="34">
        <v>24.2</v>
      </c>
      <c r="P9" s="35">
        <v>3.76</v>
      </c>
      <c r="Q9" s="38" t="str">
        <f t="shared" si="2"/>
        <v>0.23"</v>
      </c>
      <c r="R9" s="33">
        <f t="shared" si="3"/>
        <v>61.171488</v>
      </c>
      <c r="S9" s="34">
        <v>9576.0</v>
      </c>
      <c r="T9" s="39">
        <v>6388.0</v>
      </c>
      <c r="U9" s="40">
        <v>0.91</v>
      </c>
      <c r="V9" s="34" t="s">
        <v>114</v>
      </c>
      <c r="W9" s="34" t="s">
        <v>42</v>
      </c>
      <c r="X9" s="48">
        <v>600.0</v>
      </c>
      <c r="Y9" s="36" t="s">
        <v>45</v>
      </c>
      <c r="Z9" s="36" t="s">
        <v>115</v>
      </c>
      <c r="AA9" s="32" t="s">
        <v>116</v>
      </c>
      <c r="AB9" s="47" t="s">
        <v>117</v>
      </c>
      <c r="AC9" s="52" t="s">
        <v>47</v>
      </c>
    </row>
    <row r="10">
      <c r="A10" s="42" t="s">
        <v>118</v>
      </c>
      <c r="B10" s="32" t="s">
        <v>64</v>
      </c>
      <c r="C10" s="33">
        <f t="shared" si="1"/>
        <v>20</v>
      </c>
      <c r="D10" s="34">
        <v>508.0</v>
      </c>
      <c r="E10" s="35">
        <v>1537.0</v>
      </c>
      <c r="F10" s="35" t="s">
        <v>119</v>
      </c>
      <c r="G10" s="32" t="s">
        <v>120</v>
      </c>
      <c r="H10" s="53" t="s">
        <v>121</v>
      </c>
      <c r="I10" s="54" t="s">
        <v>122</v>
      </c>
      <c r="J10" s="34" t="s">
        <v>111</v>
      </c>
      <c r="K10" s="34" t="s">
        <v>112</v>
      </c>
      <c r="L10" s="34" t="s">
        <v>70</v>
      </c>
      <c r="M10" s="34" t="s">
        <v>123</v>
      </c>
      <c r="N10" s="34">
        <v>80.4</v>
      </c>
      <c r="O10" s="34">
        <v>54.0</v>
      </c>
      <c r="P10" s="35" t="s">
        <v>124</v>
      </c>
      <c r="Q10" s="38" t="str">
        <f>CONCATENATE(ROUND(((N10*60)/S10),2),"""")</f>
        <v>1.01"</v>
      </c>
      <c r="R10" s="33">
        <f t="shared" si="3"/>
        <v>15.292872</v>
      </c>
      <c r="S10" s="34">
        <v>4788.0</v>
      </c>
      <c r="T10" s="39">
        <v>3194.0</v>
      </c>
      <c r="U10" s="40">
        <v>0.91</v>
      </c>
      <c r="V10" s="34" t="s">
        <v>125</v>
      </c>
      <c r="W10" s="34" t="s">
        <v>42</v>
      </c>
      <c r="X10" s="48">
        <v>300.0</v>
      </c>
      <c r="Y10" s="36" t="s">
        <v>45</v>
      </c>
      <c r="Z10" s="36" t="s">
        <v>126</v>
      </c>
      <c r="AA10" s="55" t="s">
        <v>127</v>
      </c>
      <c r="AB10" s="47" t="s">
        <v>128</v>
      </c>
      <c r="AC10" s="52" t="s">
        <v>47</v>
      </c>
    </row>
    <row r="11">
      <c r="A11" s="56" t="s">
        <v>129</v>
      </c>
      <c r="B11" s="57" t="s">
        <v>130</v>
      </c>
      <c r="C11" s="58">
        <f t="shared" si="1"/>
        <v>10.98425197</v>
      </c>
      <c r="D11" s="59">
        <v>279.0</v>
      </c>
      <c r="E11" s="60">
        <v>620.0</v>
      </c>
      <c r="F11" s="61" t="s">
        <v>131</v>
      </c>
      <c r="G11" s="57" t="s">
        <v>132</v>
      </c>
      <c r="H11" s="62" t="s">
        <v>133</v>
      </c>
      <c r="I11" s="63" t="s">
        <v>134</v>
      </c>
      <c r="J11" s="59" t="s">
        <v>37</v>
      </c>
      <c r="K11" s="59" t="s">
        <v>38</v>
      </c>
      <c r="L11" s="59" t="s">
        <v>135</v>
      </c>
      <c r="M11" s="59" t="s">
        <v>136</v>
      </c>
      <c r="N11" s="64">
        <v>130.2</v>
      </c>
      <c r="O11" s="64">
        <v>87.0</v>
      </c>
      <c r="P11" s="60">
        <v>3.76</v>
      </c>
      <c r="Q11" s="65" t="str">
        <f>CONCATENATE(Round(((N11*60)/S11),2),"""")</f>
        <v>1.25"</v>
      </c>
      <c r="R11" s="58">
        <f t="shared" si="3"/>
        <v>26.091648</v>
      </c>
      <c r="S11" s="64">
        <v>6248.0</v>
      </c>
      <c r="T11" s="66">
        <v>4176.0</v>
      </c>
      <c r="U11" s="59" t="s">
        <v>137</v>
      </c>
      <c r="V11" s="59" t="s">
        <v>42</v>
      </c>
      <c r="W11" s="59" t="s">
        <v>42</v>
      </c>
      <c r="X11" s="67">
        <v>240.0</v>
      </c>
      <c r="Y11" s="68" t="s">
        <v>138</v>
      </c>
      <c r="Z11" s="69" t="s">
        <v>139</v>
      </c>
      <c r="AA11" s="70" t="s">
        <v>45</v>
      </c>
      <c r="AB11" s="71" t="s">
        <v>140</v>
      </c>
      <c r="AC11" s="72" t="s">
        <v>47</v>
      </c>
    </row>
    <row r="12" ht="45.0" customHeight="1">
      <c r="A12" s="73"/>
      <c r="B12" s="74" t="s">
        <v>141</v>
      </c>
      <c r="C12" s="75"/>
      <c r="D12" s="75"/>
      <c r="E12" s="76"/>
      <c r="F12" s="76"/>
      <c r="G12" s="76"/>
      <c r="H12" s="75"/>
      <c r="I12" s="76"/>
      <c r="J12" s="76"/>
      <c r="K12" s="75"/>
      <c r="L12" s="75"/>
      <c r="M12" s="75"/>
      <c r="N12" s="75"/>
      <c r="O12" s="75"/>
      <c r="P12" s="76"/>
      <c r="Q12" s="76"/>
      <c r="R12" s="75"/>
      <c r="S12" s="75"/>
      <c r="T12" s="75"/>
      <c r="U12" s="75"/>
      <c r="V12" s="75"/>
      <c r="W12" s="75"/>
      <c r="X12" s="76"/>
      <c r="Y12" s="75"/>
      <c r="Z12" s="76"/>
      <c r="AA12" s="76"/>
      <c r="AB12" s="76"/>
      <c r="AC12" s="77"/>
    </row>
    <row r="13">
      <c r="A13" s="78" t="s">
        <v>142</v>
      </c>
      <c r="B13" s="79" t="s">
        <v>64</v>
      </c>
      <c r="C13" s="80">
        <f>D13*(1/25.4)</f>
        <v>24.01574803</v>
      </c>
      <c r="D13" s="81">
        <v>610.0</v>
      </c>
      <c r="E13" s="78">
        <v>3962.0</v>
      </c>
      <c r="F13" s="78" t="s">
        <v>143</v>
      </c>
      <c r="G13" s="82" t="s">
        <v>144</v>
      </c>
      <c r="H13" s="83" t="s">
        <v>145</v>
      </c>
      <c r="I13" s="84" t="s">
        <v>110</v>
      </c>
      <c r="J13" s="81" t="s">
        <v>111</v>
      </c>
      <c r="K13" s="85" t="s">
        <v>42</v>
      </c>
      <c r="L13" s="85" t="s">
        <v>146</v>
      </c>
      <c r="M13" s="85" t="s">
        <v>147</v>
      </c>
      <c r="N13" s="85">
        <v>31.6</v>
      </c>
      <c r="O13" s="85">
        <v>21.1</v>
      </c>
      <c r="P13" s="78" t="s">
        <v>124</v>
      </c>
      <c r="Q13" s="86" t="s">
        <v>148</v>
      </c>
      <c r="R13" s="87">
        <f>(S13*T13)/1000000</f>
        <v>15.292872</v>
      </c>
      <c r="S13" s="85">
        <v>4788.0</v>
      </c>
      <c r="T13" s="88">
        <v>3194.0</v>
      </c>
      <c r="U13" s="89">
        <v>0.91</v>
      </c>
      <c r="V13" s="81" t="s">
        <v>114</v>
      </c>
      <c r="W13" s="81" t="s">
        <v>42</v>
      </c>
      <c r="X13" s="90">
        <v>600.0</v>
      </c>
      <c r="Y13" s="83" t="s">
        <v>149</v>
      </c>
      <c r="Z13" s="83" t="s">
        <v>75</v>
      </c>
      <c r="AA13" s="91" t="s">
        <v>150</v>
      </c>
      <c r="AB13" s="91" t="s">
        <v>151</v>
      </c>
      <c r="AC13" s="92" t="s">
        <v>47</v>
      </c>
    </row>
    <row r="14" ht="45.0" customHeight="1">
      <c r="A14" s="73"/>
      <c r="B14" s="74" t="s">
        <v>152</v>
      </c>
      <c r="C14" s="75"/>
      <c r="D14" s="75"/>
      <c r="E14" s="76"/>
      <c r="F14" s="76"/>
      <c r="G14" s="76"/>
      <c r="H14" s="75"/>
      <c r="I14" s="76"/>
      <c r="J14" s="76"/>
      <c r="K14" s="75"/>
      <c r="L14" s="75"/>
      <c r="M14" s="75"/>
      <c r="N14" s="75"/>
      <c r="O14" s="75"/>
      <c r="P14" s="76"/>
      <c r="Q14" s="76"/>
      <c r="R14" s="75"/>
      <c r="S14" s="75"/>
      <c r="T14" s="75"/>
      <c r="U14" s="75"/>
      <c r="V14" s="75"/>
      <c r="W14" s="75"/>
      <c r="X14" s="76"/>
      <c r="Y14" s="75"/>
      <c r="Z14" s="76"/>
      <c r="AA14" s="76"/>
      <c r="AB14" s="76"/>
      <c r="AC14" s="77"/>
    </row>
    <row r="15">
      <c r="A15" s="19" t="s">
        <v>153</v>
      </c>
      <c r="B15" s="20" t="s">
        <v>79</v>
      </c>
      <c r="C15" s="21">
        <f t="shared" ref="C15:C20" si="4">D15*(1/25.4)</f>
        <v>4.173228346</v>
      </c>
      <c r="D15" s="22">
        <v>106.0</v>
      </c>
      <c r="E15" s="93">
        <v>530.0</v>
      </c>
      <c r="F15" s="23" t="s">
        <v>80</v>
      </c>
      <c r="G15" s="25" t="s">
        <v>154</v>
      </c>
      <c r="H15" s="25" t="s">
        <v>82</v>
      </c>
      <c r="I15" s="26" t="s">
        <v>155</v>
      </c>
      <c r="J15" s="22" t="s">
        <v>54</v>
      </c>
      <c r="K15" s="22" t="s">
        <v>42</v>
      </c>
      <c r="L15" s="22" t="s">
        <v>84</v>
      </c>
      <c r="M15" s="22" t="s">
        <v>156</v>
      </c>
      <c r="N15" s="94">
        <v>238.8</v>
      </c>
      <c r="O15" s="94">
        <v>238.8</v>
      </c>
      <c r="P15" s="23">
        <v>9.0</v>
      </c>
      <c r="Q15" s="27" t="str">
        <f>CONCATENATE(Round(((N15*60)/S15),2),"""")</f>
        <v>3.5"</v>
      </c>
      <c r="R15" s="21">
        <f t="shared" ref="R15:R20" si="5">(S15*T15)/1000000</f>
        <v>16.777216</v>
      </c>
      <c r="S15" s="94">
        <v>4096.0</v>
      </c>
      <c r="T15" s="95">
        <v>4096.0</v>
      </c>
      <c r="U15" s="96">
        <v>0.6</v>
      </c>
      <c r="V15" s="22" t="s">
        <v>57</v>
      </c>
      <c r="W15" s="22" t="s">
        <v>73</v>
      </c>
      <c r="X15" s="93">
        <v>600.0</v>
      </c>
      <c r="Y15" s="97" t="s">
        <v>157</v>
      </c>
      <c r="Z15" s="98" t="s">
        <v>60</v>
      </c>
      <c r="AA15" s="25" t="s">
        <v>158</v>
      </c>
      <c r="AB15" s="25" t="s">
        <v>159</v>
      </c>
      <c r="AC15" s="41" t="s">
        <v>47</v>
      </c>
    </row>
    <row r="16">
      <c r="A16" s="42" t="s">
        <v>160</v>
      </c>
      <c r="B16" s="99" t="s">
        <v>161</v>
      </c>
      <c r="C16" s="33">
        <f t="shared" si="4"/>
        <v>17.00787402</v>
      </c>
      <c r="D16" s="34">
        <v>432.0</v>
      </c>
      <c r="E16" s="35">
        <v>2939.0</v>
      </c>
      <c r="F16" s="35" t="s">
        <v>109</v>
      </c>
      <c r="G16" s="50" t="s">
        <v>102</v>
      </c>
      <c r="H16" s="50" t="s">
        <v>145</v>
      </c>
      <c r="I16" s="54" t="s">
        <v>122</v>
      </c>
      <c r="J16" s="100" t="s">
        <v>111</v>
      </c>
      <c r="K16" s="34" t="s">
        <v>112</v>
      </c>
      <c r="L16" s="34" t="s">
        <v>70</v>
      </c>
      <c r="M16" s="34" t="s">
        <v>162</v>
      </c>
      <c r="N16" s="34">
        <v>42.4</v>
      </c>
      <c r="O16" s="34">
        <v>28.3</v>
      </c>
      <c r="P16" s="35" t="s">
        <v>124</v>
      </c>
      <c r="Q16" s="38" t="str">
        <f>CONCATENATE(Round(((N16*60)/S16),3),"""")</f>
        <v>0.531"</v>
      </c>
      <c r="R16" s="33">
        <f t="shared" si="5"/>
        <v>15.292872</v>
      </c>
      <c r="S16" s="34">
        <v>4788.0</v>
      </c>
      <c r="T16" s="39">
        <v>3194.0</v>
      </c>
      <c r="U16" s="34" t="s">
        <v>163</v>
      </c>
      <c r="V16" s="34" t="s">
        <v>125</v>
      </c>
      <c r="W16" s="34" t="s">
        <v>42</v>
      </c>
      <c r="X16" s="101">
        <v>240.0</v>
      </c>
      <c r="Y16" s="50" t="s">
        <v>86</v>
      </c>
      <c r="Z16" s="50" t="s">
        <v>60</v>
      </c>
      <c r="AA16" s="32" t="s">
        <v>164</v>
      </c>
      <c r="AB16" s="47" t="s">
        <v>165</v>
      </c>
      <c r="AC16" s="52" t="s">
        <v>47</v>
      </c>
    </row>
    <row r="17">
      <c r="A17" s="42" t="s">
        <v>166</v>
      </c>
      <c r="B17" s="32" t="s">
        <v>64</v>
      </c>
      <c r="C17" s="33">
        <f t="shared" si="4"/>
        <v>20</v>
      </c>
      <c r="D17" s="34">
        <v>508.0</v>
      </c>
      <c r="E17" s="35" t="s">
        <v>167</v>
      </c>
      <c r="F17" s="35" t="s">
        <v>168</v>
      </c>
      <c r="G17" s="50" t="s">
        <v>67</v>
      </c>
      <c r="H17" s="50" t="s">
        <v>145</v>
      </c>
      <c r="I17" s="102" t="s">
        <v>103</v>
      </c>
      <c r="J17" s="34" t="s">
        <v>54</v>
      </c>
      <c r="K17" s="34" t="s">
        <v>42</v>
      </c>
      <c r="L17" s="34" t="s">
        <v>104</v>
      </c>
      <c r="M17" s="34" t="s">
        <v>169</v>
      </c>
      <c r="N17" s="34">
        <v>41.6</v>
      </c>
      <c r="O17" s="34">
        <v>27.8</v>
      </c>
      <c r="P17" s="35">
        <v>9.0</v>
      </c>
      <c r="Q17" s="38" t="str">
        <f t="shared" ref="Q17:Q20" si="6">CONCATENATE(Round(((N17*60)/S17),2),"""")</f>
        <v>0.81"</v>
      </c>
      <c r="R17" s="33">
        <f t="shared" si="5"/>
        <v>6.291456</v>
      </c>
      <c r="S17" s="34">
        <v>3072.0</v>
      </c>
      <c r="T17" s="39">
        <v>2048.0</v>
      </c>
      <c r="U17" s="40">
        <v>0.68</v>
      </c>
      <c r="V17" s="34" t="s">
        <v>57</v>
      </c>
      <c r="W17" s="34" t="s">
        <v>58</v>
      </c>
      <c r="X17" s="101">
        <v>300.0</v>
      </c>
      <c r="Y17" s="50" t="s">
        <v>74</v>
      </c>
      <c r="Z17" s="50" t="s">
        <v>75</v>
      </c>
      <c r="AA17" s="50" t="s">
        <v>170</v>
      </c>
      <c r="AB17" s="50" t="s">
        <v>171</v>
      </c>
      <c r="AC17" s="41" t="s">
        <v>47</v>
      </c>
    </row>
    <row r="18">
      <c r="A18" s="42" t="s">
        <v>172</v>
      </c>
      <c r="B18" s="43" t="s">
        <v>173</v>
      </c>
      <c r="C18" s="33">
        <f t="shared" si="4"/>
        <v>16.96850394</v>
      </c>
      <c r="D18" s="44">
        <v>431.0</v>
      </c>
      <c r="E18" s="42">
        <v>2912.0</v>
      </c>
      <c r="F18" s="42" t="s">
        <v>109</v>
      </c>
      <c r="G18" s="50" t="s">
        <v>102</v>
      </c>
      <c r="H18" s="50" t="s">
        <v>145</v>
      </c>
      <c r="I18" s="54" t="s">
        <v>122</v>
      </c>
      <c r="J18" s="100" t="s">
        <v>111</v>
      </c>
      <c r="K18" s="34" t="s">
        <v>112</v>
      </c>
      <c r="L18" s="34" t="s">
        <v>70</v>
      </c>
      <c r="M18" s="34" t="s">
        <v>85</v>
      </c>
      <c r="N18" s="34">
        <v>42.4</v>
      </c>
      <c r="O18" s="34">
        <v>28.3</v>
      </c>
      <c r="P18" s="35" t="s">
        <v>124</v>
      </c>
      <c r="Q18" s="38" t="str">
        <f t="shared" si="6"/>
        <v>0.53"</v>
      </c>
      <c r="R18" s="33">
        <f t="shared" si="5"/>
        <v>15.292872</v>
      </c>
      <c r="S18" s="34">
        <v>4788.0</v>
      </c>
      <c r="T18" s="39">
        <v>3194.0</v>
      </c>
      <c r="U18" s="34" t="s">
        <v>163</v>
      </c>
      <c r="V18" s="34" t="s">
        <v>125</v>
      </c>
      <c r="W18" s="34" t="s">
        <v>42</v>
      </c>
      <c r="X18" s="101">
        <v>300.0</v>
      </c>
      <c r="Y18" s="50" t="s">
        <v>74</v>
      </c>
      <c r="Z18" s="50" t="s">
        <v>75</v>
      </c>
      <c r="AA18" s="32" t="s">
        <v>174</v>
      </c>
      <c r="AB18" s="47" t="s">
        <v>175</v>
      </c>
      <c r="AC18" s="41" t="s">
        <v>47</v>
      </c>
    </row>
    <row r="19">
      <c r="A19" s="42" t="s">
        <v>176</v>
      </c>
      <c r="B19" s="32" t="s">
        <v>177</v>
      </c>
      <c r="C19" s="33">
        <f t="shared" si="4"/>
        <v>12.5984252</v>
      </c>
      <c r="D19" s="34">
        <v>320.0</v>
      </c>
      <c r="E19" s="35">
        <v>2885.0</v>
      </c>
      <c r="F19" s="35" t="s">
        <v>178</v>
      </c>
      <c r="G19" s="36" t="s">
        <v>179</v>
      </c>
      <c r="H19" s="36" t="s">
        <v>180</v>
      </c>
      <c r="I19" s="45" t="s">
        <v>181</v>
      </c>
      <c r="J19" s="34" t="s">
        <v>54</v>
      </c>
      <c r="K19" s="34" t="s">
        <v>42</v>
      </c>
      <c r="L19" s="34" t="s">
        <v>84</v>
      </c>
      <c r="M19" s="34" t="s">
        <v>105</v>
      </c>
      <c r="N19" s="34">
        <v>37.0</v>
      </c>
      <c r="O19" s="34">
        <v>37.0</v>
      </c>
      <c r="P19" s="35">
        <v>9.0</v>
      </c>
      <c r="Q19" s="38" t="str">
        <f t="shared" si="6"/>
        <v>0.54"</v>
      </c>
      <c r="R19" s="33">
        <f t="shared" si="5"/>
        <v>16.777216</v>
      </c>
      <c r="S19" s="34">
        <v>4096.0</v>
      </c>
      <c r="T19" s="39">
        <v>4096.0</v>
      </c>
      <c r="U19" s="40">
        <v>0.69</v>
      </c>
      <c r="V19" s="34" t="s">
        <v>57</v>
      </c>
      <c r="W19" s="34" t="s">
        <v>58</v>
      </c>
      <c r="X19" s="48">
        <v>300.0</v>
      </c>
      <c r="Y19" s="36" t="s">
        <v>59</v>
      </c>
      <c r="Z19" s="36" t="s">
        <v>87</v>
      </c>
      <c r="AA19" s="36" t="s">
        <v>182</v>
      </c>
      <c r="AB19" s="103" t="s">
        <v>183</v>
      </c>
      <c r="AC19" s="41" t="s">
        <v>47</v>
      </c>
    </row>
    <row r="20">
      <c r="A20" s="104" t="s">
        <v>184</v>
      </c>
      <c r="B20" s="57" t="s">
        <v>173</v>
      </c>
      <c r="C20" s="58">
        <f t="shared" si="4"/>
        <v>20.07874016</v>
      </c>
      <c r="D20" s="59">
        <v>510.0</v>
      </c>
      <c r="E20" s="61">
        <v>3411.0</v>
      </c>
      <c r="F20" s="61" t="s">
        <v>109</v>
      </c>
      <c r="G20" s="105" t="s">
        <v>67</v>
      </c>
      <c r="H20" s="105" t="s">
        <v>145</v>
      </c>
      <c r="I20" s="106" t="s">
        <v>185</v>
      </c>
      <c r="J20" s="59" t="s">
        <v>54</v>
      </c>
      <c r="K20" s="59" t="s">
        <v>42</v>
      </c>
      <c r="L20" s="59" t="s">
        <v>84</v>
      </c>
      <c r="M20" s="59" t="s">
        <v>85</v>
      </c>
      <c r="N20" s="59">
        <v>37.2</v>
      </c>
      <c r="O20" s="59">
        <v>37.2</v>
      </c>
      <c r="P20" s="61">
        <v>9.0</v>
      </c>
      <c r="Q20" s="65" t="str">
        <f t="shared" si="6"/>
        <v>0.54"</v>
      </c>
      <c r="R20" s="58">
        <f t="shared" si="5"/>
        <v>16.777216</v>
      </c>
      <c r="S20" s="59">
        <v>4096.0</v>
      </c>
      <c r="T20" s="107">
        <v>4096.0</v>
      </c>
      <c r="U20" s="108">
        <v>0.6</v>
      </c>
      <c r="V20" s="59" t="s">
        <v>186</v>
      </c>
      <c r="W20" s="59" t="s">
        <v>73</v>
      </c>
      <c r="X20" s="109">
        <v>900.0</v>
      </c>
      <c r="Y20" s="105" t="s">
        <v>74</v>
      </c>
      <c r="Z20" s="105" t="s">
        <v>75</v>
      </c>
      <c r="AA20" s="105" t="s">
        <v>187</v>
      </c>
      <c r="AB20" s="105" t="s">
        <v>188</v>
      </c>
      <c r="AC20" s="72" t="s">
        <v>47</v>
      </c>
    </row>
    <row r="21" ht="45.0" customHeight="1">
      <c r="A21" s="110"/>
      <c r="B21" s="74" t="s">
        <v>189</v>
      </c>
      <c r="C21" s="111"/>
      <c r="D21" s="111"/>
      <c r="E21" s="112"/>
      <c r="F21" s="112"/>
      <c r="G21" s="112"/>
      <c r="H21" s="111"/>
      <c r="I21" s="112"/>
      <c r="J21" s="112"/>
      <c r="K21" s="111"/>
      <c r="L21" s="111"/>
      <c r="M21" s="111"/>
      <c r="N21" s="111"/>
      <c r="O21" s="111"/>
      <c r="P21" s="112"/>
      <c r="Q21" s="112"/>
      <c r="R21" s="111"/>
      <c r="S21" s="111"/>
      <c r="T21" s="111"/>
      <c r="U21" s="111"/>
      <c r="V21" s="111"/>
      <c r="W21" s="111"/>
      <c r="X21" s="112"/>
      <c r="Y21" s="111"/>
      <c r="Z21" s="112"/>
      <c r="AA21" s="112"/>
      <c r="AB21" s="112"/>
      <c r="AC21" s="77"/>
    </row>
    <row r="22">
      <c r="A22" s="113" t="s">
        <v>190</v>
      </c>
      <c r="B22" s="114" t="s">
        <v>191</v>
      </c>
      <c r="C22" s="115">
        <f t="shared" ref="C22:C25" si="7">D22*(1/25.4)</f>
        <v>2.559055118</v>
      </c>
      <c r="D22" s="116">
        <v>65.0</v>
      </c>
      <c r="E22" s="113">
        <v>129.0</v>
      </c>
      <c r="F22" s="113" t="s">
        <v>192</v>
      </c>
      <c r="G22" s="117" t="s">
        <v>193</v>
      </c>
      <c r="H22" s="114" t="s">
        <v>194</v>
      </c>
      <c r="I22" s="118" t="s">
        <v>195</v>
      </c>
      <c r="J22" s="116" t="s">
        <v>111</v>
      </c>
      <c r="K22" s="119" t="s">
        <v>38</v>
      </c>
      <c r="L22" s="119" t="s">
        <v>39</v>
      </c>
      <c r="M22" s="119" t="s">
        <v>196</v>
      </c>
      <c r="N22" s="119">
        <v>469.8</v>
      </c>
      <c r="O22" s="119">
        <v>355.2</v>
      </c>
      <c r="P22" s="113">
        <v>3.76</v>
      </c>
      <c r="Q22" s="120" t="str">
        <f t="shared" ref="Q22:Q23" si="8">CONCATENATE(Round(((N22*60)/S22),2),"""")</f>
        <v>4.51"</v>
      </c>
      <c r="R22" s="121">
        <f t="shared" ref="R22:R25" si="9">(S22*T22)/1000000</f>
        <v>26.091648</v>
      </c>
      <c r="S22" s="119">
        <v>6248.0</v>
      </c>
      <c r="T22" s="122">
        <v>4176.0</v>
      </c>
      <c r="U22" s="123">
        <v>0.6</v>
      </c>
      <c r="V22" s="116" t="s">
        <v>97</v>
      </c>
      <c r="W22" s="116" t="s">
        <v>42</v>
      </c>
      <c r="X22" s="124">
        <v>300.0</v>
      </c>
      <c r="Y22" s="125" t="s">
        <v>197</v>
      </c>
      <c r="Z22" s="125" t="s">
        <v>87</v>
      </c>
      <c r="AA22" s="126" t="s">
        <v>198</v>
      </c>
      <c r="AB22" s="126" t="s">
        <v>199</v>
      </c>
      <c r="AC22" s="127" t="s">
        <v>47</v>
      </c>
    </row>
    <row r="23">
      <c r="A23" s="128" t="s">
        <v>200</v>
      </c>
      <c r="B23" s="129" t="s">
        <v>201</v>
      </c>
      <c r="C23" s="130">
        <f t="shared" si="7"/>
        <v>7.086614173</v>
      </c>
      <c r="D23" s="131">
        <v>180.0</v>
      </c>
      <c r="E23" s="132">
        <v>500.0</v>
      </c>
      <c r="F23" s="132" t="s">
        <v>202</v>
      </c>
      <c r="G23" s="133" t="s">
        <v>203</v>
      </c>
      <c r="H23" s="129" t="s">
        <v>204</v>
      </c>
      <c r="I23" s="134" t="s">
        <v>195</v>
      </c>
      <c r="J23" s="135" t="s">
        <v>111</v>
      </c>
      <c r="K23" s="131" t="s">
        <v>38</v>
      </c>
      <c r="L23" s="131" t="s">
        <v>39</v>
      </c>
      <c r="M23" s="131" t="s">
        <v>205</v>
      </c>
      <c r="N23" s="131">
        <v>161.4</v>
      </c>
      <c r="O23" s="131">
        <v>108.0</v>
      </c>
      <c r="P23" s="128">
        <v>3.76</v>
      </c>
      <c r="Q23" s="136" t="str">
        <f t="shared" si="8"/>
        <v>1.55"</v>
      </c>
      <c r="R23" s="130">
        <f t="shared" si="9"/>
        <v>26.091648</v>
      </c>
      <c r="S23" s="131">
        <v>6248.0</v>
      </c>
      <c r="T23" s="137">
        <v>4176.0</v>
      </c>
      <c r="U23" s="138">
        <v>0.6</v>
      </c>
      <c r="V23" s="135" t="s">
        <v>97</v>
      </c>
      <c r="W23" s="135" t="s">
        <v>42</v>
      </c>
      <c r="X23" s="132">
        <v>600.0</v>
      </c>
      <c r="Y23" s="129" t="s">
        <v>206</v>
      </c>
      <c r="Z23" s="129" t="s">
        <v>207</v>
      </c>
      <c r="AA23" s="129" t="s">
        <v>208</v>
      </c>
      <c r="AB23" s="129" t="s">
        <v>209</v>
      </c>
      <c r="AC23" s="139" t="s">
        <v>47</v>
      </c>
    </row>
    <row r="24">
      <c r="A24" s="128" t="s">
        <v>210</v>
      </c>
      <c r="B24" s="129" t="s">
        <v>64</v>
      </c>
      <c r="C24" s="130">
        <f t="shared" si="7"/>
        <v>20.07874016</v>
      </c>
      <c r="D24" s="131">
        <v>510.0</v>
      </c>
      <c r="E24" s="132">
        <v>3411.0</v>
      </c>
      <c r="F24" s="132" t="s">
        <v>211</v>
      </c>
      <c r="G24" s="133" t="s">
        <v>67</v>
      </c>
      <c r="H24" s="129" t="s">
        <v>68</v>
      </c>
      <c r="I24" s="134" t="s">
        <v>212</v>
      </c>
      <c r="J24" s="135" t="s">
        <v>54</v>
      </c>
      <c r="K24" s="131" t="s">
        <v>42</v>
      </c>
      <c r="L24" s="131" t="s">
        <v>213</v>
      </c>
      <c r="M24" s="131" t="s">
        <v>214</v>
      </c>
      <c r="N24" s="131">
        <v>26.93</v>
      </c>
      <c r="O24" s="131">
        <v>21.53</v>
      </c>
      <c r="P24" s="128">
        <v>6.0</v>
      </c>
      <c r="Q24" s="136" t="s">
        <v>215</v>
      </c>
      <c r="R24" s="130">
        <f t="shared" si="9"/>
        <v>16.2</v>
      </c>
      <c r="S24" s="131">
        <v>4500.0</v>
      </c>
      <c r="T24" s="137">
        <v>3600.0</v>
      </c>
      <c r="U24" s="138">
        <v>0.6</v>
      </c>
      <c r="V24" s="135" t="s">
        <v>216</v>
      </c>
      <c r="W24" s="135" t="s">
        <v>73</v>
      </c>
      <c r="X24" s="132">
        <v>600.0</v>
      </c>
      <c r="Y24" s="129" t="s">
        <v>45</v>
      </c>
      <c r="Z24" s="129" t="s">
        <v>217</v>
      </c>
      <c r="AA24" s="129" t="s">
        <v>218</v>
      </c>
      <c r="AB24" s="129" t="s">
        <v>219</v>
      </c>
      <c r="AC24" s="140" t="s">
        <v>47</v>
      </c>
    </row>
    <row r="25">
      <c r="A25" s="128" t="s">
        <v>220</v>
      </c>
      <c r="B25" s="129" t="s">
        <v>161</v>
      </c>
      <c r="C25" s="130">
        <f t="shared" si="7"/>
        <v>14.01574803</v>
      </c>
      <c r="D25" s="131">
        <v>356.0</v>
      </c>
      <c r="E25" s="132">
        <v>2563.0</v>
      </c>
      <c r="F25" s="132" t="s">
        <v>221</v>
      </c>
      <c r="G25" s="133" t="s">
        <v>222</v>
      </c>
      <c r="H25" s="129" t="s">
        <v>68</v>
      </c>
      <c r="I25" s="134" t="s">
        <v>195</v>
      </c>
      <c r="J25" s="135" t="s">
        <v>111</v>
      </c>
      <c r="K25" s="131" t="s">
        <v>38</v>
      </c>
      <c r="L25" s="131" t="s">
        <v>39</v>
      </c>
      <c r="M25" s="131" t="s">
        <v>223</v>
      </c>
      <c r="N25" s="131">
        <v>31.8</v>
      </c>
      <c r="O25" s="131">
        <v>21.0</v>
      </c>
      <c r="P25" s="128">
        <v>3.76</v>
      </c>
      <c r="Q25" s="136" t="str">
        <f>CONCATENATE(Round(((N25*60)/S25),2),"""")</f>
        <v>0.31"</v>
      </c>
      <c r="R25" s="130">
        <f t="shared" si="9"/>
        <v>26.091648</v>
      </c>
      <c r="S25" s="131">
        <v>6248.0</v>
      </c>
      <c r="T25" s="137">
        <v>4176.0</v>
      </c>
      <c r="U25" s="138">
        <v>0.6</v>
      </c>
      <c r="V25" s="135" t="s">
        <v>97</v>
      </c>
      <c r="W25" s="135" t="s">
        <v>42</v>
      </c>
      <c r="X25" s="132">
        <v>240.0</v>
      </c>
      <c r="Y25" s="129" t="s">
        <v>224</v>
      </c>
      <c r="Z25" s="129" t="s">
        <v>225</v>
      </c>
      <c r="AA25" s="129" t="s">
        <v>226</v>
      </c>
      <c r="AB25" s="141" t="s">
        <v>227</v>
      </c>
      <c r="AC25" s="142" t="s">
        <v>47</v>
      </c>
    </row>
    <row r="26">
      <c r="A26" s="128" t="s">
        <v>228</v>
      </c>
      <c r="B26" s="143"/>
      <c r="C26" s="130"/>
      <c r="D26" s="131"/>
      <c r="E26" s="132"/>
      <c r="F26" s="132"/>
      <c r="G26" s="133"/>
      <c r="H26" s="129"/>
      <c r="I26" s="144"/>
      <c r="J26" s="135"/>
      <c r="K26" s="131"/>
      <c r="L26" s="131"/>
      <c r="M26" s="131"/>
      <c r="N26" s="131"/>
      <c r="O26" s="131"/>
      <c r="P26" s="128"/>
      <c r="Q26" s="132"/>
      <c r="R26" s="130"/>
      <c r="S26" s="131"/>
      <c r="T26" s="137"/>
      <c r="U26" s="138"/>
      <c r="V26" s="135"/>
      <c r="W26" s="135"/>
      <c r="X26" s="132"/>
      <c r="Y26" s="129"/>
      <c r="Z26" s="129"/>
      <c r="AA26" s="129"/>
      <c r="AB26" s="141"/>
      <c r="AC26" s="145"/>
    </row>
    <row r="27">
      <c r="A27" s="146" t="s">
        <v>229</v>
      </c>
      <c r="B27" s="147" t="s">
        <v>49</v>
      </c>
      <c r="C27" s="148">
        <f>D27*(1/25.4)</f>
        <v>9.842519685</v>
      </c>
      <c r="D27" s="149">
        <v>250.0</v>
      </c>
      <c r="E27" s="150">
        <v>950.0</v>
      </c>
      <c r="F27" s="150" t="s">
        <v>230</v>
      </c>
      <c r="G27" s="151" t="s">
        <v>231</v>
      </c>
      <c r="H27" s="147" t="s">
        <v>232</v>
      </c>
      <c r="I27" s="152" t="s">
        <v>122</v>
      </c>
      <c r="J27" s="153" t="s">
        <v>111</v>
      </c>
      <c r="K27" s="149" t="s">
        <v>112</v>
      </c>
      <c r="L27" s="149" t="s">
        <v>70</v>
      </c>
      <c r="M27" s="149" t="s">
        <v>233</v>
      </c>
      <c r="N27" s="149">
        <v>137.4</v>
      </c>
      <c r="O27" s="149">
        <v>91.8</v>
      </c>
      <c r="P27" s="146" t="s">
        <v>124</v>
      </c>
      <c r="Q27" s="150" t="str">
        <f>CONCATENATE(Round(((N27*60)/S27),3),"""")</f>
        <v>1.722"</v>
      </c>
      <c r="R27" s="148">
        <f>(S27*T27)/1000000</f>
        <v>15.292872</v>
      </c>
      <c r="S27" s="149">
        <v>4788.0</v>
      </c>
      <c r="T27" s="154">
        <v>3194.0</v>
      </c>
      <c r="U27" s="155">
        <v>0.91</v>
      </c>
      <c r="V27" s="153" t="s">
        <v>97</v>
      </c>
      <c r="W27" s="153" t="s">
        <v>42</v>
      </c>
      <c r="X27" s="150">
        <v>600.0</v>
      </c>
      <c r="Y27" s="147" t="s">
        <v>234</v>
      </c>
      <c r="Z27" s="147" t="s">
        <v>207</v>
      </c>
      <c r="AA27" s="147" t="s">
        <v>226</v>
      </c>
      <c r="AB27" s="156" t="s">
        <v>235</v>
      </c>
      <c r="AC27" s="157" t="s">
        <v>47</v>
      </c>
    </row>
    <row r="28" ht="45.0" customHeight="1">
      <c r="A28" s="73"/>
      <c r="B28" s="74" t="s">
        <v>236</v>
      </c>
      <c r="C28" s="75"/>
      <c r="D28" s="75"/>
      <c r="E28" s="76"/>
      <c r="F28" s="76"/>
      <c r="G28" s="76"/>
      <c r="H28" s="75"/>
      <c r="I28" s="76"/>
      <c r="J28" s="76"/>
      <c r="K28" s="75"/>
      <c r="L28" s="75"/>
      <c r="M28" s="75"/>
      <c r="N28" s="75"/>
      <c r="O28" s="75"/>
      <c r="P28" s="76"/>
      <c r="Q28" s="76"/>
      <c r="R28" s="75"/>
      <c r="S28" s="75"/>
      <c r="T28" s="75"/>
      <c r="U28" s="75"/>
      <c r="V28" s="75"/>
      <c r="W28" s="75"/>
      <c r="X28" s="76"/>
      <c r="Y28" s="75"/>
      <c r="Z28" s="76"/>
      <c r="AA28" s="76"/>
      <c r="AB28" s="76"/>
      <c r="AC28" s="77"/>
    </row>
    <row r="29">
      <c r="A29" s="158" t="s">
        <v>237</v>
      </c>
      <c r="B29" s="159" t="s">
        <v>49</v>
      </c>
      <c r="C29" s="160">
        <f>D29*(1/25.4)</f>
        <v>12.51968504</v>
      </c>
      <c r="D29" s="161">
        <v>318.0</v>
      </c>
      <c r="E29" s="162">
        <v>1683.0</v>
      </c>
      <c r="F29" s="162" t="s">
        <v>238</v>
      </c>
      <c r="G29" s="163" t="s">
        <v>239</v>
      </c>
      <c r="H29" s="163" t="s">
        <v>145</v>
      </c>
      <c r="I29" s="164" t="s">
        <v>240</v>
      </c>
      <c r="J29" s="161" t="s">
        <v>111</v>
      </c>
      <c r="K29" s="161" t="s">
        <v>112</v>
      </c>
      <c r="L29" s="161" t="s">
        <v>70</v>
      </c>
      <c r="M29" s="161" t="s">
        <v>241</v>
      </c>
      <c r="N29" s="161">
        <v>73.6</v>
      </c>
      <c r="O29" s="161">
        <v>49.1</v>
      </c>
      <c r="P29" s="162" t="s">
        <v>124</v>
      </c>
      <c r="Q29" s="165" t="str">
        <f>CONCATENATE(Round(((N29*60)/S29),2),""" (Bin2)")</f>
        <v>0.92" (Bin2)</v>
      </c>
      <c r="R29" s="160">
        <f>(S29*T29)/1000000</f>
        <v>15.292872</v>
      </c>
      <c r="S29" s="161">
        <v>4788.0</v>
      </c>
      <c r="T29" s="166">
        <v>3194.0</v>
      </c>
      <c r="U29" s="167">
        <v>0.87</v>
      </c>
      <c r="V29" s="161" t="s">
        <v>242</v>
      </c>
      <c r="W29" s="161" t="s">
        <v>42</v>
      </c>
      <c r="X29" s="168">
        <v>300.0</v>
      </c>
      <c r="Y29" s="163" t="s">
        <v>243</v>
      </c>
      <c r="Z29" s="163" t="s">
        <v>60</v>
      </c>
      <c r="AA29" s="163" t="s">
        <v>244</v>
      </c>
      <c r="AB29" s="169" t="s">
        <v>245</v>
      </c>
      <c r="AC29" s="72" t="s">
        <v>47</v>
      </c>
    </row>
    <row r="30" ht="45.0" customHeight="1">
      <c r="A30" s="1"/>
      <c r="B30" s="74" t="s">
        <v>246</v>
      </c>
      <c r="C30" s="170"/>
      <c r="D30" s="170"/>
      <c r="E30" s="74"/>
      <c r="F30" s="74"/>
      <c r="G30" s="74"/>
      <c r="H30" s="170"/>
      <c r="I30" s="74"/>
      <c r="J30" s="74"/>
      <c r="K30" s="170"/>
      <c r="L30" s="170"/>
      <c r="M30" s="170"/>
      <c r="N30" s="170"/>
      <c r="O30" s="170"/>
      <c r="P30" s="74"/>
      <c r="Q30" s="74"/>
      <c r="R30" s="170"/>
      <c r="S30" s="170"/>
      <c r="T30" s="170"/>
      <c r="U30" s="170"/>
      <c r="V30" s="170"/>
      <c r="W30" s="170"/>
      <c r="X30" s="74"/>
      <c r="Y30" s="170"/>
      <c r="Z30" s="74"/>
      <c r="AA30" s="74"/>
      <c r="AB30" s="74"/>
      <c r="AC30" s="77"/>
    </row>
    <row r="31">
      <c r="A31" s="158" t="s">
        <v>247</v>
      </c>
      <c r="B31" s="159" t="s">
        <v>191</v>
      </c>
      <c r="C31" s="160">
        <f>D31*(1/25.4)</f>
        <v>2.559055118</v>
      </c>
      <c r="D31" s="161">
        <v>65.0</v>
      </c>
      <c r="E31" s="162">
        <v>129.0</v>
      </c>
      <c r="F31" s="162" t="s">
        <v>192</v>
      </c>
      <c r="G31" s="164" t="s">
        <v>193</v>
      </c>
      <c r="H31" s="163" t="s">
        <v>194</v>
      </c>
      <c r="I31" s="164" t="s">
        <v>248</v>
      </c>
      <c r="J31" s="161" t="s">
        <v>111</v>
      </c>
      <c r="K31" s="161" t="s">
        <v>38</v>
      </c>
      <c r="L31" s="161" t="s">
        <v>39</v>
      </c>
      <c r="M31" s="161" t="s">
        <v>249</v>
      </c>
      <c r="N31" s="161">
        <v>622.2</v>
      </c>
      <c r="O31" s="161">
        <v>415.8</v>
      </c>
      <c r="P31" s="162">
        <v>3.76</v>
      </c>
      <c r="Q31" s="165" t="str">
        <f>CONCATENATE(Round(((N31*60)/S31),2),"""")</f>
        <v>5.98"</v>
      </c>
      <c r="R31" s="160">
        <f>(S31*T31)/1000000</f>
        <v>26.091648</v>
      </c>
      <c r="S31" s="161">
        <v>6248.0</v>
      </c>
      <c r="T31" s="166">
        <v>4176.0</v>
      </c>
      <c r="U31" s="167">
        <v>0.6</v>
      </c>
      <c r="V31" s="161" t="s">
        <v>97</v>
      </c>
      <c r="W31" s="161" t="s">
        <v>42</v>
      </c>
      <c r="X31" s="168">
        <v>300.0</v>
      </c>
      <c r="Y31" s="163" t="s">
        <v>250</v>
      </c>
      <c r="Z31" s="163" t="s">
        <v>207</v>
      </c>
      <c r="AA31" s="163" t="s">
        <v>198</v>
      </c>
      <c r="AB31" s="163" t="s">
        <v>251</v>
      </c>
      <c r="AC31" s="72" t="s">
        <v>47</v>
      </c>
    </row>
    <row r="32" ht="15.75" customHeight="1">
      <c r="A32" s="171"/>
      <c r="B32" s="172"/>
      <c r="C32" s="173"/>
      <c r="D32" s="174"/>
      <c r="E32" s="175"/>
      <c r="F32" s="175"/>
      <c r="G32" s="176"/>
      <c r="H32" s="177"/>
      <c r="I32" s="176"/>
      <c r="J32" s="174"/>
      <c r="K32" s="174"/>
      <c r="L32" s="174"/>
      <c r="M32" s="174"/>
      <c r="N32" s="174"/>
      <c r="O32" s="174"/>
      <c r="P32" s="178"/>
      <c r="Q32" s="179"/>
      <c r="R32" s="174"/>
      <c r="S32" s="174"/>
      <c r="T32" s="180"/>
      <c r="U32" s="174"/>
      <c r="V32" s="174"/>
      <c r="W32" s="174"/>
      <c r="X32" s="178"/>
      <c r="Y32" s="177"/>
      <c r="Z32" s="177"/>
      <c r="AA32" s="176"/>
      <c r="AB32" s="176"/>
      <c r="AC32" s="181"/>
    </row>
  </sheetData>
  <hyperlinks>
    <hyperlink r:id="rId1" ref="B2"/>
    <hyperlink r:id="rId2" ref="I3"/>
    <hyperlink r:id="rId3" ref="AC3"/>
    <hyperlink r:id="rId4" ref="I4"/>
    <hyperlink r:id="rId5" ref="AC4"/>
    <hyperlink r:id="rId6" ref="I5"/>
    <hyperlink r:id="rId7" ref="AA5"/>
    <hyperlink r:id="rId8" ref="AC5"/>
    <hyperlink r:id="rId9" ref="I6"/>
    <hyperlink r:id="rId10" ref="AC6"/>
    <hyperlink r:id="rId11" ref="I7"/>
    <hyperlink r:id="rId12" ref="AC7"/>
    <hyperlink r:id="rId13" ref="I8"/>
    <hyperlink r:id="rId14" ref="AC8"/>
    <hyperlink r:id="rId15" ref="I9"/>
    <hyperlink r:id="rId16" ref="AC9"/>
    <hyperlink r:id="rId17" ref="I10"/>
    <hyperlink r:id="rId18" ref="AA10"/>
    <hyperlink r:id="rId19" ref="AC10"/>
    <hyperlink r:id="rId20" ref="AC11"/>
    <hyperlink r:id="rId21" ref="B12"/>
    <hyperlink r:id="rId22" ref="I13"/>
    <hyperlink r:id="rId23" ref="AC13"/>
    <hyperlink r:id="rId24" ref="B14"/>
    <hyperlink r:id="rId25" ref="I15"/>
    <hyperlink r:id="rId26" ref="AC15"/>
    <hyperlink r:id="rId27" ref="I16"/>
    <hyperlink r:id="rId28" ref="AC16"/>
    <hyperlink r:id="rId29" ref="I17"/>
    <hyperlink r:id="rId30" ref="AC17"/>
    <hyperlink r:id="rId31" ref="I18"/>
    <hyperlink r:id="rId32" ref="AC18"/>
    <hyperlink r:id="rId33" ref="I19"/>
    <hyperlink r:id="rId34" ref="AC19"/>
    <hyperlink r:id="rId35" ref="I20"/>
    <hyperlink r:id="rId36" ref="AC20"/>
    <hyperlink r:id="rId37" ref="B21"/>
    <hyperlink r:id="rId38" ref="G22"/>
    <hyperlink r:id="rId39" ref="I22"/>
    <hyperlink r:id="rId40" ref="AC22"/>
    <hyperlink r:id="rId41" ref="I23"/>
    <hyperlink r:id="rId42" ref="AC23"/>
    <hyperlink r:id="rId43" ref="I24"/>
    <hyperlink r:id="rId44" ref="AC24"/>
    <hyperlink r:id="rId45" ref="I25"/>
    <hyperlink r:id="rId46" ref="AC25"/>
    <hyperlink r:id="rId47" ref="I27"/>
    <hyperlink r:id="rId48" ref="AC27"/>
    <hyperlink r:id="rId49" ref="B28"/>
    <hyperlink r:id="rId50" ref="I29"/>
    <hyperlink r:id="rId51" ref="AC29"/>
    <hyperlink r:id="rId52" ref="B30"/>
    <hyperlink r:id="rId53" ref="G31"/>
    <hyperlink r:id="rId54" ref="I31"/>
    <hyperlink r:id="rId55" ref="AC31"/>
  </hyperlinks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5.13" defaultRowHeight="15.75"/>
  <cols>
    <col customWidth="1" min="1" max="1" width="11.88"/>
    <col customWidth="1" min="2" max="6" width="10.13"/>
    <col customWidth="1" min="7" max="7" width="5.75"/>
    <col customWidth="1" min="8" max="12" width="10.13"/>
  </cols>
  <sheetData>
    <row r="1">
      <c r="A1" s="182"/>
      <c r="B1" s="183" t="s">
        <v>252</v>
      </c>
      <c r="C1" s="184"/>
      <c r="D1" s="184"/>
      <c r="E1" s="184"/>
      <c r="F1" s="184"/>
      <c r="G1" s="184"/>
      <c r="H1" s="184"/>
      <c r="I1" s="184"/>
      <c r="J1" s="184"/>
      <c r="K1" s="184"/>
      <c r="L1" s="185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>
      <c r="L2" s="187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>
      <c r="L3" s="187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9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>
      <c r="A5" s="182"/>
      <c r="B5" s="190"/>
      <c r="C5" s="190"/>
      <c r="D5" s="190"/>
      <c r="E5" s="190"/>
      <c r="F5" s="190"/>
      <c r="G5" s="186"/>
      <c r="H5" s="190"/>
      <c r="I5" s="190"/>
      <c r="J5" s="190"/>
      <c r="K5" s="190"/>
      <c r="L5" s="190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>
      <c r="A6" s="191"/>
      <c r="B6" s="192" t="s">
        <v>253</v>
      </c>
      <c r="C6" s="184"/>
      <c r="D6" s="184"/>
      <c r="E6" s="184"/>
      <c r="F6" s="184"/>
      <c r="G6" s="193"/>
      <c r="H6" s="192" t="s">
        <v>254</v>
      </c>
      <c r="I6" s="184"/>
      <c r="J6" s="184"/>
      <c r="K6" s="184"/>
      <c r="L6" s="184"/>
      <c r="M6" s="1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>
      <c r="A7" s="8" t="s">
        <v>0</v>
      </c>
      <c r="B7" s="195" t="s">
        <v>255</v>
      </c>
      <c r="C7" s="195" t="s">
        <v>256</v>
      </c>
      <c r="D7" s="195" t="s">
        <v>257</v>
      </c>
      <c r="E7" s="195" t="s">
        <v>258</v>
      </c>
      <c r="F7" s="195" t="s">
        <v>259</v>
      </c>
      <c r="G7" s="193"/>
      <c r="H7" s="195" t="s">
        <v>255</v>
      </c>
      <c r="I7" s="195" t="s">
        <v>256</v>
      </c>
      <c r="J7" s="195" t="s">
        <v>257</v>
      </c>
      <c r="K7" s="195" t="s">
        <v>258</v>
      </c>
      <c r="L7" s="195" t="s">
        <v>259</v>
      </c>
      <c r="M7" s="194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>
      <c r="A8" s="196" t="s">
        <v>260</v>
      </c>
      <c r="B8" s="197"/>
      <c r="C8" s="197"/>
      <c r="D8" s="197"/>
      <c r="E8" s="197"/>
      <c r="F8" s="197"/>
      <c r="G8" s="198"/>
      <c r="H8" s="197"/>
      <c r="I8" s="197"/>
      <c r="J8" s="197"/>
      <c r="K8" s="197"/>
      <c r="L8" s="197"/>
      <c r="M8" s="199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>
      <c r="A9" s="201" t="s">
        <v>31</v>
      </c>
      <c r="B9" s="202">
        <v>26.0</v>
      </c>
      <c r="C9" s="202">
        <v>23.0</v>
      </c>
      <c r="D9" s="202">
        <v>23.0</v>
      </c>
      <c r="E9" s="202">
        <v>23.0</v>
      </c>
      <c r="F9" s="202">
        <v>23.0</v>
      </c>
      <c r="G9" s="198"/>
      <c r="H9" s="202">
        <v>49.0</v>
      </c>
      <c r="I9" s="202">
        <v>44.0</v>
      </c>
      <c r="J9" s="202">
        <v>44.0</v>
      </c>
      <c r="K9" s="202">
        <v>44.0</v>
      </c>
      <c r="L9" s="202">
        <v>44.0</v>
      </c>
      <c r="M9" s="199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>
      <c r="A10" s="201" t="s">
        <v>48</v>
      </c>
      <c r="B10" s="202">
        <v>38.0</v>
      </c>
      <c r="C10" s="202">
        <v>34.0</v>
      </c>
      <c r="D10" s="202">
        <v>34.0</v>
      </c>
      <c r="E10" s="202">
        <v>34.0</v>
      </c>
      <c r="F10" s="202">
        <v>34.0</v>
      </c>
      <c r="G10" s="198"/>
      <c r="H10" s="202">
        <v>67.0</v>
      </c>
      <c r="I10" s="202">
        <v>60.0</v>
      </c>
      <c r="J10" s="202">
        <v>60.0</v>
      </c>
      <c r="K10" s="202">
        <v>60.0</v>
      </c>
      <c r="L10" s="202">
        <v>60.0</v>
      </c>
      <c r="M10" s="199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>
      <c r="A11" s="201" t="s">
        <v>63</v>
      </c>
      <c r="B11" s="202">
        <v>102.0</v>
      </c>
      <c r="C11" s="202">
        <v>91.0</v>
      </c>
      <c r="D11" s="202">
        <v>79.0</v>
      </c>
      <c r="E11" s="202">
        <v>68.0</v>
      </c>
      <c r="F11" s="202">
        <v>57.0</v>
      </c>
      <c r="G11" s="198"/>
      <c r="H11" s="202">
        <v>161.0</v>
      </c>
      <c r="I11" s="202">
        <v>143.0</v>
      </c>
      <c r="J11" s="202">
        <v>125.0</v>
      </c>
      <c r="K11" s="202">
        <v>107.0</v>
      </c>
      <c r="L11" s="202">
        <v>89.0</v>
      </c>
      <c r="M11" s="199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>
      <c r="A12" s="201" t="s">
        <v>78</v>
      </c>
      <c r="B12" s="202">
        <v>46.0</v>
      </c>
      <c r="C12" s="202">
        <v>41.0</v>
      </c>
      <c r="D12" s="202">
        <v>41.0</v>
      </c>
      <c r="E12" s="202">
        <v>41.0</v>
      </c>
      <c r="F12" s="202">
        <v>41.0</v>
      </c>
      <c r="G12" s="198"/>
      <c r="H12" s="202">
        <v>97.0</v>
      </c>
      <c r="I12" s="202">
        <v>86.0</v>
      </c>
      <c r="J12" s="202">
        <v>86.0</v>
      </c>
      <c r="K12" s="202">
        <v>86.0</v>
      </c>
      <c r="L12" s="202">
        <v>86.0</v>
      </c>
      <c r="M12" s="199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>
      <c r="A13" s="201" t="s">
        <v>90</v>
      </c>
      <c r="B13" s="202">
        <v>48.0</v>
      </c>
      <c r="C13" s="202">
        <v>42.0</v>
      </c>
      <c r="D13" s="202">
        <v>42.0</v>
      </c>
      <c r="E13" s="202">
        <v>42.0</v>
      </c>
      <c r="F13" s="202">
        <v>42.0</v>
      </c>
      <c r="G13" s="198"/>
      <c r="H13" s="202">
        <v>89.0</v>
      </c>
      <c r="I13" s="202">
        <v>79.0</v>
      </c>
      <c r="J13" s="202">
        <v>79.0</v>
      </c>
      <c r="K13" s="202">
        <v>79.0</v>
      </c>
      <c r="L13" s="202">
        <v>79.0</v>
      </c>
      <c r="M13" s="199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>
      <c r="A14" s="201" t="s">
        <v>100</v>
      </c>
      <c r="B14" s="202">
        <v>54.0</v>
      </c>
      <c r="C14" s="202">
        <v>48.0</v>
      </c>
      <c r="D14" s="202">
        <v>48.0</v>
      </c>
      <c r="E14" s="202">
        <v>48.0</v>
      </c>
      <c r="F14" s="202">
        <v>48.0</v>
      </c>
      <c r="G14" s="198"/>
      <c r="H14" s="202">
        <v>76.0</v>
      </c>
      <c r="I14" s="202">
        <v>68.0</v>
      </c>
      <c r="J14" s="202">
        <v>68.0</v>
      </c>
      <c r="K14" s="202">
        <v>68.0</v>
      </c>
      <c r="L14" s="202">
        <v>68.0</v>
      </c>
      <c r="M14" s="199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>
      <c r="A15" s="201" t="s">
        <v>108</v>
      </c>
      <c r="B15" s="203">
        <v>215.0</v>
      </c>
      <c r="C15" s="203">
        <v>191.0</v>
      </c>
      <c r="D15" s="203">
        <v>167.0</v>
      </c>
      <c r="E15" s="203">
        <v>143.0</v>
      </c>
      <c r="F15" s="203">
        <v>119.0</v>
      </c>
      <c r="G15" s="198"/>
      <c r="H15" s="202">
        <v>290.0</v>
      </c>
      <c r="I15" s="202">
        <v>258.0</v>
      </c>
      <c r="J15" s="202">
        <v>225.0</v>
      </c>
      <c r="K15" s="202">
        <v>193.0</v>
      </c>
      <c r="L15" s="202">
        <v>161.0</v>
      </c>
      <c r="M15" s="199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>
      <c r="A16" s="201" t="s">
        <v>118</v>
      </c>
      <c r="B16" s="203">
        <v>263.0</v>
      </c>
      <c r="C16" s="203">
        <v>233.0</v>
      </c>
      <c r="D16" s="203">
        <v>205.0</v>
      </c>
      <c r="E16" s="203">
        <v>175.0</v>
      </c>
      <c r="F16" s="203">
        <v>146.0</v>
      </c>
      <c r="G16" s="198"/>
      <c r="H16" s="202">
        <v>354.0</v>
      </c>
      <c r="I16" s="202">
        <v>315.0</v>
      </c>
      <c r="J16" s="202">
        <v>276.0</v>
      </c>
      <c r="K16" s="202">
        <v>236.0</v>
      </c>
      <c r="L16" s="202">
        <v>197.0</v>
      </c>
      <c r="M16" s="199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>
      <c r="A17" s="204" t="s">
        <v>129</v>
      </c>
      <c r="B17" s="205">
        <v>0.0</v>
      </c>
      <c r="C17" s="205">
        <v>0.0</v>
      </c>
      <c r="D17" s="205">
        <v>0.0</v>
      </c>
      <c r="E17" s="205">
        <v>0.0</v>
      </c>
      <c r="F17" s="205">
        <v>0.0</v>
      </c>
      <c r="G17" s="198"/>
      <c r="H17" s="205">
        <v>0.0</v>
      </c>
      <c r="I17" s="205">
        <v>0.0</v>
      </c>
      <c r="J17" s="205">
        <v>0.0</v>
      </c>
      <c r="K17" s="205">
        <v>0.0</v>
      </c>
      <c r="L17" s="205">
        <v>0.0</v>
      </c>
      <c r="M17" s="199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>
      <c r="A18" s="200"/>
      <c r="B18" s="206"/>
      <c r="C18" s="206"/>
      <c r="D18" s="206"/>
      <c r="E18" s="206"/>
      <c r="F18" s="206"/>
      <c r="G18" s="198"/>
      <c r="H18" s="206"/>
      <c r="I18" s="206"/>
      <c r="J18" s="206"/>
      <c r="K18" s="206"/>
      <c r="L18" s="206"/>
      <c r="M18" s="199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>
      <c r="A19" s="196" t="s">
        <v>261</v>
      </c>
      <c r="B19" s="197"/>
      <c r="C19" s="197"/>
      <c r="D19" s="197"/>
      <c r="E19" s="197"/>
      <c r="F19" s="197"/>
      <c r="G19" s="198"/>
      <c r="H19" s="197"/>
      <c r="I19" s="197"/>
      <c r="J19" s="197"/>
      <c r="K19" s="197"/>
      <c r="L19" s="197"/>
      <c r="M19" s="199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>
      <c r="A20" s="207" t="s">
        <v>153</v>
      </c>
      <c r="B20" s="208">
        <v>60.0</v>
      </c>
      <c r="C20" s="208">
        <v>53.0</v>
      </c>
      <c r="D20" s="208">
        <v>46.0</v>
      </c>
      <c r="E20" s="208">
        <v>40.0</v>
      </c>
      <c r="F20" s="208">
        <v>33.0</v>
      </c>
      <c r="G20" s="198"/>
      <c r="H20" s="208">
        <v>129.0</v>
      </c>
      <c r="I20" s="208">
        <v>115.0</v>
      </c>
      <c r="J20" s="208">
        <v>100.0</v>
      </c>
      <c r="K20" s="208">
        <v>86.0</v>
      </c>
      <c r="L20" s="208">
        <v>72.0</v>
      </c>
      <c r="M20" s="199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>
      <c r="A21" s="201" t="s">
        <v>160</v>
      </c>
      <c r="B21" s="202">
        <v>69.0</v>
      </c>
      <c r="C21" s="202">
        <v>61.0</v>
      </c>
      <c r="D21" s="202">
        <v>53.0</v>
      </c>
      <c r="E21" s="202">
        <v>46.0</v>
      </c>
      <c r="F21" s="202">
        <v>38.0</v>
      </c>
      <c r="G21" s="198"/>
      <c r="H21" s="202">
        <v>135.0</v>
      </c>
      <c r="I21" s="202">
        <v>120.0</v>
      </c>
      <c r="J21" s="202">
        <v>105.0</v>
      </c>
      <c r="K21" s="202">
        <v>90.0</v>
      </c>
      <c r="L21" s="202">
        <v>75.0</v>
      </c>
      <c r="M21" s="199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>
      <c r="A22" s="201" t="s">
        <v>166</v>
      </c>
      <c r="B22" s="202">
        <v>118.0</v>
      </c>
      <c r="C22" s="202">
        <v>105.0</v>
      </c>
      <c r="D22" s="202">
        <v>92.0</v>
      </c>
      <c r="E22" s="202">
        <v>79.0</v>
      </c>
      <c r="F22" s="202">
        <v>66.0</v>
      </c>
      <c r="G22" s="198"/>
      <c r="H22" s="202">
        <v>161.0</v>
      </c>
      <c r="I22" s="202">
        <v>143.0</v>
      </c>
      <c r="J22" s="202">
        <v>125.0</v>
      </c>
      <c r="K22" s="202">
        <v>107.0</v>
      </c>
      <c r="L22" s="202">
        <v>89.0</v>
      </c>
      <c r="M22" s="199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>
      <c r="A23" s="201" t="s">
        <v>172</v>
      </c>
      <c r="B23" s="202">
        <v>94.0</v>
      </c>
      <c r="C23" s="202">
        <v>84.0</v>
      </c>
      <c r="D23" s="202">
        <v>73.0</v>
      </c>
      <c r="E23" s="202">
        <v>63.0</v>
      </c>
      <c r="F23" s="202">
        <v>52.0</v>
      </c>
      <c r="G23" s="198"/>
      <c r="H23" s="202">
        <v>145.0</v>
      </c>
      <c r="I23" s="202">
        <v>129.0</v>
      </c>
      <c r="J23" s="202">
        <v>113.0</v>
      </c>
      <c r="K23" s="202">
        <v>97.0</v>
      </c>
      <c r="L23" s="202">
        <v>81.0</v>
      </c>
      <c r="M23" s="199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>
      <c r="A24" s="201" t="s">
        <v>184</v>
      </c>
      <c r="B24" s="202">
        <v>118.0</v>
      </c>
      <c r="C24" s="202">
        <v>105.0</v>
      </c>
      <c r="D24" s="202">
        <v>92.0</v>
      </c>
      <c r="E24" s="202">
        <v>79.0</v>
      </c>
      <c r="F24" s="202">
        <v>66.0</v>
      </c>
      <c r="G24" s="198"/>
      <c r="H24" s="202">
        <v>161.0</v>
      </c>
      <c r="I24" s="202">
        <v>143.0</v>
      </c>
      <c r="J24" s="202">
        <v>125.0</v>
      </c>
      <c r="K24" s="202">
        <v>107.0</v>
      </c>
      <c r="L24" s="202">
        <v>89.0</v>
      </c>
      <c r="M24" s="199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>
      <c r="A25" s="201" t="s">
        <v>176</v>
      </c>
      <c r="B25" s="202">
        <v>0.0</v>
      </c>
      <c r="C25" s="202">
        <v>0.0</v>
      </c>
      <c r="D25" s="202">
        <v>0.0</v>
      </c>
      <c r="E25" s="202">
        <v>0.0</v>
      </c>
      <c r="F25" s="202">
        <v>0.0</v>
      </c>
      <c r="G25" s="198"/>
      <c r="H25" s="202">
        <v>0.0</v>
      </c>
      <c r="I25" s="202">
        <v>0.0</v>
      </c>
      <c r="J25" s="202">
        <v>0.0</v>
      </c>
      <c r="K25" s="202">
        <v>0.0</v>
      </c>
      <c r="L25" s="202">
        <v>0.0</v>
      </c>
      <c r="M25" s="199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>
      <c r="A26" s="200"/>
      <c r="B26" s="206"/>
      <c r="C26" s="206"/>
      <c r="D26" s="206"/>
      <c r="E26" s="206"/>
      <c r="F26" s="206"/>
      <c r="G26" s="198"/>
      <c r="H26" s="206"/>
      <c r="I26" s="206"/>
      <c r="J26" s="206"/>
      <c r="K26" s="206"/>
      <c r="L26" s="206"/>
      <c r="M26" s="199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>
      <c r="A27" s="209" t="s">
        <v>262</v>
      </c>
      <c r="B27" s="210"/>
      <c r="C27" s="210"/>
      <c r="D27" s="210"/>
      <c r="E27" s="210"/>
      <c r="F27" s="210"/>
      <c r="G27" s="198"/>
      <c r="H27" s="210"/>
      <c r="I27" s="210"/>
      <c r="J27" s="210"/>
      <c r="K27" s="210"/>
      <c r="L27" s="210"/>
      <c r="M27" s="199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>
      <c r="A28" s="211" t="s">
        <v>237</v>
      </c>
      <c r="B28" s="212">
        <v>44.0</v>
      </c>
      <c r="C28" s="212">
        <v>39.0</v>
      </c>
      <c r="D28" s="212">
        <v>39.0</v>
      </c>
      <c r="E28" s="212">
        <v>39.0</v>
      </c>
      <c r="F28" s="212">
        <v>39.0</v>
      </c>
      <c r="G28" s="198"/>
      <c r="H28" s="212">
        <v>81.0</v>
      </c>
      <c r="I28" s="212">
        <v>72.0</v>
      </c>
      <c r="J28" s="212">
        <v>72.0</v>
      </c>
      <c r="K28" s="212">
        <v>72.0</v>
      </c>
      <c r="L28" s="212">
        <v>72.0</v>
      </c>
      <c r="M28" s="213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>
      <c r="A29" s="209"/>
      <c r="B29" s="210"/>
      <c r="C29" s="210"/>
      <c r="D29" s="210"/>
      <c r="E29" s="210"/>
      <c r="F29" s="210"/>
      <c r="G29" s="198"/>
      <c r="H29" s="210"/>
      <c r="I29" s="210"/>
      <c r="J29" s="210"/>
      <c r="K29" s="210"/>
      <c r="L29" s="210"/>
      <c r="M29" s="199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>
      <c r="A30" s="209" t="s">
        <v>263</v>
      </c>
      <c r="B30" s="210"/>
      <c r="C30" s="210"/>
      <c r="D30" s="210"/>
      <c r="E30" s="210"/>
      <c r="F30" s="210"/>
      <c r="G30" s="198"/>
      <c r="H30" s="210"/>
      <c r="I30" s="210"/>
      <c r="J30" s="210"/>
      <c r="K30" s="210"/>
      <c r="L30" s="210"/>
      <c r="M30" s="199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>
      <c r="A31" s="215" t="s">
        <v>142</v>
      </c>
      <c r="B31" s="216">
        <v>110.0</v>
      </c>
      <c r="C31" s="216">
        <v>98.0</v>
      </c>
      <c r="D31" s="216">
        <v>86.0</v>
      </c>
      <c r="E31" s="216">
        <v>73.0</v>
      </c>
      <c r="F31" s="216">
        <v>61.0</v>
      </c>
      <c r="G31" s="198"/>
      <c r="H31" s="216">
        <v>186.0</v>
      </c>
      <c r="I31" s="216">
        <v>165.0</v>
      </c>
      <c r="J31" s="216">
        <v>144.0</v>
      </c>
      <c r="K31" s="216">
        <v>124.0</v>
      </c>
      <c r="L31" s="216">
        <v>103.0</v>
      </c>
      <c r="M31" s="199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>
      <c r="A32" s="182"/>
      <c r="B32" s="210"/>
      <c r="C32" s="210"/>
      <c r="D32" s="210"/>
      <c r="E32" s="210"/>
      <c r="F32" s="210"/>
      <c r="G32" s="198"/>
      <c r="H32" s="210"/>
      <c r="I32" s="210"/>
      <c r="J32" s="210"/>
      <c r="K32" s="210"/>
      <c r="L32" s="210"/>
      <c r="M32" s="199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>
      <c r="A33" s="209" t="s">
        <v>264</v>
      </c>
      <c r="B33" s="210"/>
      <c r="C33" s="210"/>
      <c r="D33" s="210"/>
      <c r="E33" s="210"/>
      <c r="F33" s="210"/>
      <c r="G33" s="198"/>
      <c r="H33" s="210"/>
      <c r="I33" s="210"/>
      <c r="J33" s="210"/>
      <c r="K33" s="210"/>
      <c r="L33" s="210"/>
      <c r="M33" s="199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>
      <c r="A34" s="217" t="s">
        <v>190</v>
      </c>
      <c r="B34" s="218">
        <v>61.0</v>
      </c>
      <c r="C34" s="218">
        <v>54.0</v>
      </c>
      <c r="D34" s="218">
        <v>47.0</v>
      </c>
      <c r="E34" s="218">
        <v>40.0</v>
      </c>
      <c r="F34" s="218">
        <v>34.0</v>
      </c>
      <c r="G34" s="198"/>
      <c r="H34" s="218">
        <v>118.0</v>
      </c>
      <c r="I34" s="218">
        <v>105.0</v>
      </c>
      <c r="J34" s="218">
        <v>92.0</v>
      </c>
      <c r="K34" s="218">
        <v>79.0</v>
      </c>
      <c r="L34" s="218">
        <v>66.0</v>
      </c>
      <c r="M34" s="199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>
      <c r="A35" s="219" t="s">
        <v>200</v>
      </c>
      <c r="B35" s="220">
        <v>68.0</v>
      </c>
      <c r="C35" s="220">
        <v>60.0</v>
      </c>
      <c r="D35" s="220">
        <v>53.0</v>
      </c>
      <c r="E35" s="220">
        <v>45.0</v>
      </c>
      <c r="F35" s="220">
        <v>38.0</v>
      </c>
      <c r="G35" s="198"/>
      <c r="H35" s="220">
        <v>118.0</v>
      </c>
      <c r="I35" s="220">
        <v>105.0</v>
      </c>
      <c r="J35" s="220">
        <v>92.0</v>
      </c>
      <c r="K35" s="220">
        <v>79.0</v>
      </c>
      <c r="L35" s="220">
        <v>66.0</v>
      </c>
      <c r="M35" s="199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>
      <c r="A36" s="219" t="s">
        <v>210</v>
      </c>
      <c r="B36" s="220">
        <v>149.0</v>
      </c>
      <c r="C36" s="220">
        <v>132.0</v>
      </c>
      <c r="D36" s="220">
        <v>116.0</v>
      </c>
      <c r="E36" s="220">
        <v>99.0</v>
      </c>
      <c r="F36" s="221">
        <v>83.0</v>
      </c>
      <c r="G36" s="200"/>
      <c r="H36" s="222">
        <v>201.0</v>
      </c>
      <c r="I36" s="220">
        <v>179.0</v>
      </c>
      <c r="J36" s="220">
        <v>156.0</v>
      </c>
      <c r="K36" s="220">
        <v>134.0</v>
      </c>
      <c r="L36" s="221">
        <v>112.0</v>
      </c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>
      <c r="A37" s="219" t="s">
        <v>220</v>
      </c>
      <c r="B37" s="220">
        <v>147.0</v>
      </c>
      <c r="C37" s="220">
        <v>131.0</v>
      </c>
      <c r="D37" s="220">
        <v>114.0</v>
      </c>
      <c r="E37" s="220">
        <v>98.0</v>
      </c>
      <c r="F37" s="220">
        <v>82.0</v>
      </c>
      <c r="G37" s="198"/>
      <c r="H37" s="220">
        <v>201.0</v>
      </c>
      <c r="I37" s="220">
        <v>179.0</v>
      </c>
      <c r="J37" s="220">
        <v>156.0</v>
      </c>
      <c r="K37" s="220">
        <v>134.0</v>
      </c>
      <c r="L37" s="220">
        <v>112.0</v>
      </c>
      <c r="M37" s="199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>
      <c r="A38" s="219" t="s">
        <v>228</v>
      </c>
      <c r="B38" s="220"/>
      <c r="C38" s="220"/>
      <c r="D38" s="220"/>
      <c r="E38" s="220"/>
      <c r="F38" s="220"/>
      <c r="G38" s="198"/>
      <c r="H38" s="220"/>
      <c r="I38" s="220"/>
      <c r="J38" s="220"/>
      <c r="K38" s="220"/>
      <c r="L38" s="220"/>
      <c r="M38" s="199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>
      <c r="A39" s="223" t="s">
        <v>229</v>
      </c>
      <c r="B39" s="224">
        <v>153.0</v>
      </c>
      <c r="C39" s="224">
        <v>136.0</v>
      </c>
      <c r="D39" s="224">
        <v>119.0</v>
      </c>
      <c r="E39" s="224">
        <v>104.0</v>
      </c>
      <c r="F39" s="224">
        <v>85.0</v>
      </c>
      <c r="G39" s="198"/>
      <c r="H39" s="224">
        <v>201.0</v>
      </c>
      <c r="I39" s="224">
        <v>179.0</v>
      </c>
      <c r="J39" s="224">
        <v>156.0</v>
      </c>
      <c r="K39" s="224">
        <v>134.0</v>
      </c>
      <c r="L39" s="224">
        <v>112.0</v>
      </c>
      <c r="M39" s="199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>
      <c r="A40" s="182"/>
      <c r="B40" s="210"/>
      <c r="C40" s="210"/>
      <c r="D40" s="210"/>
      <c r="E40" s="210"/>
      <c r="F40" s="210"/>
      <c r="H40" s="210"/>
      <c r="I40" s="210"/>
      <c r="J40" s="210"/>
      <c r="K40" s="210"/>
      <c r="L40" s="210"/>
      <c r="M40" s="199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>
      <c r="A41" s="209" t="s">
        <v>265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>
      <c r="A42" s="211" t="s">
        <v>247</v>
      </c>
      <c r="B42" s="212">
        <v>63.0</v>
      </c>
      <c r="C42" s="212">
        <v>56.0</v>
      </c>
      <c r="D42" s="212">
        <v>49.0</v>
      </c>
      <c r="E42" s="212">
        <v>42.0</v>
      </c>
      <c r="F42" s="212">
        <v>35.0</v>
      </c>
      <c r="G42" s="198"/>
      <c r="H42" s="212">
        <v>118.0</v>
      </c>
      <c r="I42" s="212">
        <v>105.0</v>
      </c>
      <c r="J42" s="212">
        <v>92.0</v>
      </c>
      <c r="K42" s="212">
        <v>79.0</v>
      </c>
      <c r="L42" s="212">
        <v>66.0</v>
      </c>
      <c r="M42" s="225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</row>
    <row r="43">
      <c r="A43" s="182"/>
      <c r="B43" s="210"/>
      <c r="C43" s="210"/>
      <c r="D43" s="210"/>
      <c r="E43" s="210"/>
      <c r="F43" s="210"/>
      <c r="G43" s="200"/>
      <c r="H43" s="210"/>
      <c r="I43" s="210"/>
      <c r="J43" s="210"/>
      <c r="K43" s="210"/>
      <c r="L43" s="21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  <row r="233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</row>
    <row r="234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</row>
    <row r="235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</row>
    <row r="236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</row>
    <row r="237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</row>
    <row r="238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</row>
    <row r="239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</row>
    <row r="240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</row>
    <row r="24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</row>
    <row r="242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</row>
    <row r="243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</row>
    <row r="244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</row>
    <row r="245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</row>
    <row r="246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</row>
    <row r="247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</row>
    <row r="248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</row>
    <row r="249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</row>
    <row r="250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</row>
    <row r="25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</row>
    <row r="252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</row>
    <row r="253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</row>
    <row r="254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</row>
    <row r="255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</row>
    <row r="256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</row>
    <row r="257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</row>
    <row r="258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</row>
    <row r="259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</row>
    <row r="260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</row>
    <row r="26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</row>
    <row r="262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</row>
    <row r="263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</row>
    <row r="264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</row>
    <row r="265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</row>
    <row r="266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</row>
    <row r="267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</row>
    <row r="268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</row>
    <row r="269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</row>
    <row r="270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</row>
    <row r="27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</row>
    <row r="272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</row>
    <row r="273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</row>
    <row r="274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</row>
    <row r="275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</row>
    <row r="276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</row>
    <row r="277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</row>
    <row r="278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</row>
    <row r="279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</row>
    <row r="280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</row>
    <row r="28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</row>
    <row r="282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</row>
    <row r="283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</row>
    <row r="284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</row>
    <row r="285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</row>
    <row r="286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</row>
    <row r="287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</row>
    <row r="288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</row>
    <row r="289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</row>
    <row r="290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</row>
    <row r="292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</row>
    <row r="293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</row>
    <row r="294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</row>
    <row r="295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</row>
    <row r="296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</row>
    <row r="297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</row>
    <row r="298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</row>
    <row r="299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</row>
    <row r="300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</row>
    <row r="30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</row>
    <row r="302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</row>
    <row r="303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</row>
    <row r="304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</row>
    <row r="305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</row>
    <row r="306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</row>
    <row r="308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</row>
    <row r="309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</row>
    <row r="310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</row>
    <row r="31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</row>
    <row r="312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</row>
    <row r="313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</row>
    <row r="314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</row>
    <row r="315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</row>
    <row r="316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</row>
    <row r="317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</row>
    <row r="318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</row>
    <row r="319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</row>
    <row r="320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</row>
    <row r="32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</row>
    <row r="322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</row>
    <row r="323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</row>
    <row r="324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</row>
    <row r="325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</row>
    <row r="326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</row>
    <row r="327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</row>
    <row r="328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</row>
    <row r="329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</row>
    <row r="330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</row>
    <row r="33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</row>
    <row r="332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</row>
    <row r="333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</row>
    <row r="334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</row>
    <row r="335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</row>
    <row r="336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</row>
    <row r="337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</row>
    <row r="338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</row>
    <row r="339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</row>
    <row r="340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</row>
    <row r="34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</row>
    <row r="342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</row>
    <row r="343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</row>
    <row r="344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</row>
    <row r="345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</row>
    <row r="346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</row>
    <row r="347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</row>
    <row r="348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</row>
    <row r="349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</row>
    <row r="350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</row>
    <row r="35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</row>
    <row r="352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</row>
    <row r="353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</row>
    <row r="354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</row>
    <row r="355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</row>
    <row r="356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</row>
    <row r="357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</row>
    <row r="358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</row>
    <row r="359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</row>
    <row r="360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</row>
    <row r="36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</row>
    <row r="362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</row>
    <row r="363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</row>
    <row r="364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</row>
    <row r="365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</row>
    <row r="366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</row>
    <row r="367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</row>
    <row r="368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</row>
    <row r="369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</row>
    <row r="370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</row>
    <row r="37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</row>
    <row r="372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</row>
    <row r="373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</row>
    <row r="374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</row>
    <row r="375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</row>
    <row r="376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</row>
    <row r="377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</row>
    <row r="378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</row>
    <row r="379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</row>
    <row r="380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</row>
    <row r="38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</row>
    <row r="382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</row>
    <row r="383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</row>
    <row r="384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</row>
    <row r="385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</row>
    <row r="386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</row>
    <row r="387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</row>
    <row r="388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</row>
    <row r="389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</row>
    <row r="390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</row>
    <row r="39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</row>
    <row r="392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</row>
    <row r="393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</row>
    <row r="394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</row>
    <row r="395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</row>
    <row r="396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</row>
    <row r="397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</row>
    <row r="398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</row>
    <row r="399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</row>
    <row r="400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</row>
    <row r="40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</row>
    <row r="402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</row>
    <row r="403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</row>
    <row r="404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</row>
    <row r="405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</row>
    <row r="406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</row>
    <row r="407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</row>
    <row r="408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</row>
    <row r="409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</row>
    <row r="410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</row>
    <row r="41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</row>
    <row r="412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</row>
    <row r="413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</row>
    <row r="414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</row>
    <row r="415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</row>
    <row r="416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</row>
    <row r="417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</row>
    <row r="418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</row>
    <row r="419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</row>
    <row r="420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</row>
    <row r="42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</row>
    <row r="422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</row>
    <row r="423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</row>
    <row r="424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</row>
    <row r="425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</row>
    <row r="426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</row>
    <row r="427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</row>
    <row r="428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</row>
    <row r="429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</row>
    <row r="430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</row>
    <row r="43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</row>
    <row r="432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</row>
    <row r="434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</row>
    <row r="435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</row>
    <row r="436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</row>
    <row r="437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</row>
    <row r="438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</row>
    <row r="439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</row>
    <row r="440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</row>
    <row r="44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</row>
    <row r="442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</row>
    <row r="443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</row>
    <row r="444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</row>
    <row r="445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</row>
    <row r="446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</row>
    <row r="447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</row>
    <row r="448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</row>
    <row r="449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</row>
    <row r="450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</row>
    <row r="45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</row>
    <row r="452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</row>
    <row r="453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</row>
    <row r="454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</row>
    <row r="455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</row>
    <row r="456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</row>
    <row r="457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</row>
    <row r="458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</row>
    <row r="459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</row>
    <row r="460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</row>
    <row r="46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</row>
    <row r="462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</row>
    <row r="463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</row>
    <row r="464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</row>
    <row r="465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</row>
    <row r="466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</row>
    <row r="467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</row>
    <row r="468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</row>
    <row r="469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</row>
    <row r="470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</row>
    <row r="47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</row>
    <row r="472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</row>
    <row r="473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</row>
    <row r="474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</row>
    <row r="475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</row>
    <row r="476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</row>
    <row r="477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</row>
    <row r="478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</row>
    <row r="479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</row>
    <row r="480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</row>
    <row r="48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</row>
    <row r="482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</row>
    <row r="483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</row>
    <row r="484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</row>
    <row r="485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</row>
    <row r="486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</row>
    <row r="487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</row>
    <row r="488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</row>
    <row r="489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</row>
    <row r="490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</row>
    <row r="49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</row>
    <row r="492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</row>
    <row r="493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</row>
    <row r="494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</row>
    <row r="495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</row>
    <row r="496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</row>
    <row r="497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</row>
    <row r="498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</row>
    <row r="499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</row>
    <row r="500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</row>
    <row r="50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</row>
    <row r="502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</row>
    <row r="503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</row>
    <row r="504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</row>
    <row r="505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</row>
    <row r="506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</row>
    <row r="507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</row>
    <row r="508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</row>
    <row r="509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</row>
    <row r="510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</row>
    <row r="51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</row>
    <row r="512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</row>
    <row r="513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</row>
    <row r="514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</row>
    <row r="515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</row>
    <row r="516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</row>
    <row r="517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</row>
    <row r="518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</row>
    <row r="519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</row>
    <row r="520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</row>
    <row r="52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</row>
    <row r="522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</row>
    <row r="523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</row>
    <row r="524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</row>
    <row r="525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</row>
    <row r="526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</row>
    <row r="527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</row>
    <row r="528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</row>
    <row r="529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</row>
    <row r="530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</row>
    <row r="53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</row>
    <row r="532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</row>
    <row r="533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</row>
    <row r="534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</row>
    <row r="535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</row>
    <row r="536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</row>
    <row r="537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</row>
    <row r="538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</row>
    <row r="539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</row>
    <row r="540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</row>
    <row r="54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</row>
    <row r="542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</row>
    <row r="543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</row>
    <row r="544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</row>
    <row r="545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</row>
    <row r="546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</row>
    <row r="547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</row>
    <row r="548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</row>
    <row r="549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</row>
    <row r="550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</row>
    <row r="55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</row>
    <row r="552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</row>
    <row r="553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</row>
    <row r="554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</row>
    <row r="555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</row>
    <row r="556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</row>
    <row r="557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</row>
    <row r="558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</row>
    <row r="559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</row>
    <row r="560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</row>
    <row r="56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</row>
    <row r="562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</row>
    <row r="563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</row>
    <row r="564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</row>
    <row r="565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</row>
    <row r="566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</row>
    <row r="567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</row>
    <row r="568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</row>
    <row r="569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</row>
    <row r="570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</row>
    <row r="57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</row>
    <row r="572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</row>
    <row r="573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</row>
    <row r="574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</row>
    <row r="575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</row>
    <row r="576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</row>
    <row r="577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</row>
    <row r="578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</row>
    <row r="579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</row>
    <row r="580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</row>
    <row r="58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</row>
    <row r="582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</row>
    <row r="583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</row>
    <row r="584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</row>
    <row r="585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</row>
    <row r="586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</row>
    <row r="587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</row>
    <row r="588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</row>
    <row r="589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</row>
    <row r="590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</row>
    <row r="59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</row>
    <row r="592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</row>
    <row r="593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</row>
    <row r="594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</row>
    <row r="595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</row>
    <row r="596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</row>
    <row r="597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</row>
    <row r="598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</row>
    <row r="599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</row>
    <row r="600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</row>
    <row r="60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</row>
    <row r="602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</row>
    <row r="603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</row>
    <row r="604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</row>
    <row r="605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</row>
    <row r="606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</row>
    <row r="607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</row>
    <row r="608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</row>
    <row r="609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</row>
    <row r="610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</row>
    <row r="61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</row>
    <row r="612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</row>
    <row r="613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</row>
    <row r="614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</row>
    <row r="615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</row>
    <row r="616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</row>
    <row r="617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</row>
    <row r="618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</row>
    <row r="619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</row>
    <row r="620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</row>
    <row r="62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</row>
    <row r="622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</row>
    <row r="623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</row>
    <row r="624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</row>
    <row r="625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</row>
    <row r="626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</row>
    <row r="627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</row>
    <row r="628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</row>
    <row r="629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</row>
    <row r="630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</row>
    <row r="63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</row>
    <row r="632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</row>
    <row r="633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</row>
    <row r="634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</row>
    <row r="635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</row>
    <row r="636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</row>
    <row r="637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</row>
    <row r="638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</row>
    <row r="639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</row>
    <row r="640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</row>
    <row r="64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</row>
    <row r="642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</row>
    <row r="643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</row>
    <row r="644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</row>
    <row r="645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</row>
    <row r="646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</row>
    <row r="647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</row>
    <row r="648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</row>
    <row r="649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</row>
    <row r="650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</row>
    <row r="65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</row>
    <row r="652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</row>
    <row r="653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</row>
    <row r="654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</row>
    <row r="655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</row>
    <row r="656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</row>
    <row r="657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</row>
    <row r="658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</row>
    <row r="659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</row>
    <row r="660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</row>
    <row r="66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</row>
    <row r="662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</row>
    <row r="663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</row>
    <row r="664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</row>
    <row r="665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</row>
    <row r="666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</row>
    <row r="667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</row>
    <row r="668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</row>
    <row r="669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</row>
    <row r="670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</row>
    <row r="67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</row>
    <row r="672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</row>
    <row r="673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</row>
    <row r="674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</row>
    <row r="675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</row>
    <row r="676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</row>
    <row r="677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</row>
    <row r="678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</row>
    <row r="679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</row>
    <row r="680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</row>
    <row r="68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</row>
    <row r="682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</row>
    <row r="683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</row>
    <row r="684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</row>
    <row r="685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</row>
    <row r="686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</row>
    <row r="687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</row>
    <row r="688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</row>
    <row r="689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</row>
    <row r="690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</row>
    <row r="69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</row>
    <row r="692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</row>
    <row r="693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</row>
    <row r="694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</row>
    <row r="695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</row>
    <row r="696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</row>
    <row r="697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</row>
    <row r="698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</row>
    <row r="699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</row>
    <row r="700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</row>
    <row r="70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</row>
    <row r="702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</row>
    <row r="703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</row>
    <row r="704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</row>
    <row r="705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</row>
    <row r="706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</row>
    <row r="707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</row>
    <row r="708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</row>
    <row r="709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</row>
    <row r="710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</row>
    <row r="71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</row>
    <row r="712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</row>
    <row r="713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</row>
    <row r="714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</row>
    <row r="715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</row>
    <row r="716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</row>
    <row r="717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</row>
    <row r="718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</row>
    <row r="719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</row>
    <row r="720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</row>
    <row r="72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</row>
    <row r="722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</row>
    <row r="723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</row>
    <row r="724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</row>
    <row r="725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</row>
    <row r="726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</row>
    <row r="727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</row>
    <row r="728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</row>
    <row r="729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</row>
    <row r="730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</row>
    <row r="73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</row>
    <row r="732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</row>
    <row r="733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</row>
    <row r="734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</row>
    <row r="735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</row>
    <row r="736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</row>
    <row r="737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</row>
    <row r="738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</row>
    <row r="739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</row>
    <row r="740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</row>
    <row r="74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</row>
    <row r="742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</row>
    <row r="743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</row>
    <row r="744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</row>
    <row r="745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</row>
    <row r="746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</row>
    <row r="747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</row>
    <row r="748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</row>
    <row r="749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</row>
    <row r="750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</row>
    <row r="75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</row>
    <row r="752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</row>
    <row r="753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</row>
    <row r="754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</row>
    <row r="755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</row>
    <row r="756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</row>
    <row r="757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</row>
    <row r="758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</row>
    <row r="759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</row>
    <row r="760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</row>
    <row r="76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</row>
    <row r="762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</row>
    <row r="763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</row>
    <row r="764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</row>
    <row r="765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</row>
    <row r="766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</row>
    <row r="767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</row>
    <row r="768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</row>
    <row r="769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</row>
    <row r="770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</row>
    <row r="77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</row>
    <row r="772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</row>
    <row r="773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</row>
    <row r="774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</row>
    <row r="775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</row>
    <row r="776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</row>
    <row r="777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</row>
    <row r="778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</row>
    <row r="779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</row>
    <row r="780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</row>
    <row r="78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</row>
    <row r="782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</row>
    <row r="783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</row>
    <row r="784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</row>
    <row r="785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</row>
    <row r="786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</row>
    <row r="787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</row>
    <row r="788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</row>
    <row r="789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</row>
    <row r="790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</row>
    <row r="79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</row>
    <row r="792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</row>
    <row r="793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</row>
    <row r="794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</row>
    <row r="795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</row>
    <row r="796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</row>
    <row r="797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</row>
    <row r="798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</row>
    <row r="799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</row>
    <row r="800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</row>
    <row r="80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</row>
    <row r="802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</row>
    <row r="803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</row>
    <row r="804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</row>
    <row r="805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</row>
    <row r="806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</row>
    <row r="807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</row>
    <row r="808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</row>
    <row r="809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</row>
    <row r="810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</row>
    <row r="81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</row>
    <row r="812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</row>
    <row r="813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</row>
    <row r="814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</row>
    <row r="815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</row>
    <row r="816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</row>
    <row r="817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</row>
    <row r="818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</row>
    <row r="819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</row>
    <row r="820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</row>
    <row r="82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</row>
    <row r="822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</row>
    <row r="823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</row>
    <row r="824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</row>
    <row r="825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</row>
    <row r="826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</row>
    <row r="827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</row>
    <row r="828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</row>
    <row r="829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</row>
    <row r="830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</row>
    <row r="83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</row>
    <row r="832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</row>
    <row r="833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</row>
    <row r="834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</row>
    <row r="835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</row>
    <row r="836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</row>
    <row r="837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</row>
    <row r="838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</row>
    <row r="839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</row>
    <row r="840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</row>
    <row r="84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</row>
    <row r="842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</row>
    <row r="843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</row>
    <row r="844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</row>
    <row r="845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</row>
    <row r="846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</row>
    <row r="847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</row>
    <row r="848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</row>
    <row r="849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</row>
    <row r="850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</row>
    <row r="85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</row>
    <row r="852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</row>
    <row r="853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</row>
    <row r="854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</row>
    <row r="855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</row>
    <row r="856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</row>
    <row r="857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</row>
    <row r="858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</row>
    <row r="859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</row>
    <row r="860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</row>
    <row r="86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</row>
    <row r="862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</row>
    <row r="863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</row>
    <row r="864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</row>
    <row r="865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</row>
    <row r="866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</row>
    <row r="867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</row>
    <row r="868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</row>
    <row r="869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</row>
    <row r="870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</row>
    <row r="87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</row>
    <row r="872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</row>
    <row r="873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</row>
    <row r="874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</row>
    <row r="875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</row>
    <row r="876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</row>
    <row r="877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</row>
    <row r="878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</row>
    <row r="879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</row>
    <row r="880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</row>
    <row r="88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</row>
    <row r="882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</row>
    <row r="883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</row>
    <row r="884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</row>
    <row r="885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</row>
    <row r="886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</row>
    <row r="887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</row>
    <row r="888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</row>
    <row r="889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</row>
    <row r="890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</row>
    <row r="89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</row>
    <row r="892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</row>
    <row r="893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</row>
    <row r="894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</row>
    <row r="895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</row>
    <row r="896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</row>
    <row r="897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</row>
    <row r="898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</row>
    <row r="899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</row>
    <row r="900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</row>
    <row r="90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</row>
    <row r="902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</row>
    <row r="903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</row>
    <row r="904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</row>
    <row r="905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</row>
    <row r="906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</row>
    <row r="907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</row>
    <row r="908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</row>
    <row r="909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</row>
    <row r="910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</row>
    <row r="91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</row>
    <row r="912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</row>
    <row r="913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</row>
    <row r="914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</row>
    <row r="915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</row>
    <row r="916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</row>
    <row r="917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</row>
    <row r="918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</row>
    <row r="919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</row>
    <row r="920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</row>
    <row r="92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</row>
    <row r="922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</row>
    <row r="923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</row>
    <row r="924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</row>
    <row r="925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</row>
    <row r="926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</row>
    <row r="927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</row>
    <row r="928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</row>
    <row r="929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</row>
    <row r="930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</row>
    <row r="93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</row>
    <row r="932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</row>
    <row r="933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</row>
    <row r="934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</row>
    <row r="935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</row>
    <row r="936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</row>
    <row r="937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</row>
    <row r="938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</row>
    <row r="939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</row>
    <row r="940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</row>
    <row r="94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</row>
    <row r="942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</row>
    <row r="943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</row>
    <row r="944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</row>
    <row r="945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</row>
    <row r="946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</row>
    <row r="947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</row>
    <row r="948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</row>
    <row r="949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</row>
    <row r="950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</row>
    <row r="95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</row>
    <row r="952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</row>
    <row r="953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</row>
    <row r="954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</row>
    <row r="955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</row>
    <row r="956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</row>
    <row r="957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</row>
    <row r="958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</row>
    <row r="959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</row>
    <row r="960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</row>
    <row r="96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</row>
    <row r="962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</row>
    <row r="963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</row>
    <row r="964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</row>
    <row r="965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</row>
    <row r="966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</row>
    <row r="967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</row>
    <row r="968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</row>
    <row r="969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</row>
    <row r="970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</row>
    <row r="97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</row>
    <row r="972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</row>
    <row r="973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</row>
    <row r="974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</row>
    <row r="975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</row>
    <row r="976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</row>
    <row r="977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</row>
    <row r="978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</row>
    <row r="979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</row>
    <row r="980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</row>
    <row r="98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</row>
    <row r="982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</row>
    <row r="983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</row>
    <row r="984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</row>
    <row r="985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</row>
    <row r="986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</row>
    <row r="987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</row>
  </sheetData>
  <mergeCells count="4">
    <mergeCell ref="A1:A4"/>
    <mergeCell ref="B1:L4"/>
    <mergeCell ref="B6:F6"/>
    <mergeCell ref="H6:L6"/>
  </mergeCells>
  <hyperlinks>
    <hyperlink r:id="rId1" ref="B1"/>
    <hyperlink r:id="rId2" ref="B6"/>
    <hyperlink r:id="rId3" ref="H6"/>
  </hyperlinks>
  <drawing r:id="rId4"/>
</worksheet>
</file>